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usmc-my.sharepoint-mil.us/personal/anthony_l_potter_ctr_usmc_mil/Documents/Desktop/COST_ESTIMATING/1024/"/>
    </mc:Choice>
  </mc:AlternateContent>
  <xr:revisionPtr revIDLastSave="117" documentId="11_DA56DC15EA66B3E3906F9C52FCDD17C4B6D56230" xr6:coauthVersionLast="47" xr6:coauthVersionMax="47" xr10:uidLastSave="{C80AA2F3-31CE-40B2-9D7B-76FAC1FE8471}"/>
  <bookViews>
    <workbookView xWindow="-120" yWindow="90" windowWidth="29040" windowHeight="15510" tabRatio="500" xr2:uid="{00000000-000D-0000-FFFF-FFFF00000000}"/>
  </bookViews>
  <sheets>
    <sheet name="ESTIMATE" sheetId="1" r:id="rId1"/>
    <sheet name="SCOPE_DETAIL" sheetId="2" r:id="rId2"/>
    <sheet name="PARAMETERS" sheetId="3" r:id="rId3"/>
    <sheet name="DD1391_BLOCK9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" i="4" l="1"/>
  <c r="B52" i="3"/>
  <c r="B47" i="3"/>
  <c r="B44" i="3"/>
  <c r="B41" i="3"/>
  <c r="B38" i="3"/>
  <c r="B53" i="3" s="1"/>
  <c r="B54" i="3" s="1"/>
  <c r="B21" i="3"/>
  <c r="B13" i="4" s="1"/>
  <c r="G99" i="2"/>
  <c r="H98" i="2"/>
  <c r="G98" i="2"/>
  <c r="H97" i="2"/>
  <c r="G97" i="2"/>
  <c r="H96" i="2"/>
  <c r="H99" i="2" s="1"/>
  <c r="G96" i="2"/>
  <c r="G93" i="2"/>
  <c r="H93" i="2" s="1"/>
  <c r="G92" i="2"/>
  <c r="G94" i="2" s="1"/>
  <c r="G90" i="2"/>
  <c r="H89" i="2"/>
  <c r="G89" i="2"/>
  <c r="H88" i="2"/>
  <c r="G88" i="2"/>
  <c r="H87" i="2"/>
  <c r="G87" i="2"/>
  <c r="G86" i="2"/>
  <c r="H86" i="2" s="1"/>
  <c r="G84" i="2"/>
  <c r="H83" i="2"/>
  <c r="G83" i="2"/>
  <c r="H82" i="2"/>
  <c r="G82" i="2"/>
  <c r="H81" i="2"/>
  <c r="G81" i="2"/>
  <c r="H80" i="2"/>
  <c r="G80" i="2"/>
  <c r="G79" i="2"/>
  <c r="H79" i="2" s="1"/>
  <c r="G77" i="2"/>
  <c r="H76" i="2"/>
  <c r="G76" i="2"/>
  <c r="H75" i="2"/>
  <c r="G75" i="2"/>
  <c r="H74" i="2"/>
  <c r="G74" i="2"/>
  <c r="H73" i="2"/>
  <c r="G73" i="2"/>
  <c r="G72" i="2"/>
  <c r="H72" i="2" s="1"/>
  <c r="H69" i="2"/>
  <c r="G69" i="2"/>
  <c r="H68" i="2"/>
  <c r="G68" i="2"/>
  <c r="H67" i="2"/>
  <c r="G67" i="2"/>
  <c r="H66" i="2"/>
  <c r="G66" i="2"/>
  <c r="G65" i="2"/>
  <c r="H65" i="2" s="1"/>
  <c r="G64" i="2"/>
  <c r="H64" i="2" s="1"/>
  <c r="H63" i="2"/>
  <c r="G63" i="2"/>
  <c r="H62" i="2"/>
  <c r="G62" i="2"/>
  <c r="H61" i="2"/>
  <c r="G61" i="2"/>
  <c r="H60" i="2"/>
  <c r="G60" i="2"/>
  <c r="G59" i="2"/>
  <c r="H59" i="2" s="1"/>
  <c r="G58" i="2"/>
  <c r="H58" i="2" s="1"/>
  <c r="H57" i="2"/>
  <c r="G57" i="2"/>
  <c r="H56" i="2"/>
  <c r="G56" i="2"/>
  <c r="H55" i="2"/>
  <c r="G55" i="2"/>
  <c r="H54" i="2"/>
  <c r="G54" i="2"/>
  <c r="G53" i="2"/>
  <c r="H53" i="2" s="1"/>
  <c r="G52" i="2"/>
  <c r="H52" i="2" s="1"/>
  <c r="H51" i="2"/>
  <c r="G51" i="2"/>
  <c r="H50" i="2"/>
  <c r="G50" i="2"/>
  <c r="H49" i="2"/>
  <c r="G49" i="2"/>
  <c r="H48" i="2"/>
  <c r="G48" i="2"/>
  <c r="G47" i="2"/>
  <c r="H47" i="2" s="1"/>
  <c r="G45" i="2"/>
  <c r="H44" i="2"/>
  <c r="G44" i="2"/>
  <c r="H43" i="2"/>
  <c r="G43" i="2"/>
  <c r="H42" i="2"/>
  <c r="G42" i="2"/>
  <c r="H41" i="2"/>
  <c r="G41" i="2"/>
  <c r="G38" i="2"/>
  <c r="G39" i="2" s="1"/>
  <c r="H37" i="2"/>
  <c r="G37" i="2"/>
  <c r="H36" i="2"/>
  <c r="G36" i="2"/>
  <c r="H35" i="2"/>
  <c r="G35" i="2"/>
  <c r="G32" i="2"/>
  <c r="H32" i="2" s="1"/>
  <c r="G31" i="2"/>
  <c r="H31" i="2" s="1"/>
  <c r="H30" i="2"/>
  <c r="G30" i="2"/>
  <c r="H29" i="2"/>
  <c r="G29" i="2"/>
  <c r="H28" i="2"/>
  <c r="G28" i="2"/>
  <c r="H27" i="2"/>
  <c r="G27" i="2"/>
  <c r="G33" i="2" s="1"/>
  <c r="G24" i="2"/>
  <c r="C39" i="1" s="1"/>
  <c r="H23" i="2"/>
  <c r="G23" i="2"/>
  <c r="H22" i="2"/>
  <c r="G22" i="2"/>
  <c r="G20" i="2"/>
  <c r="H19" i="2"/>
  <c r="G19" i="2"/>
  <c r="G18" i="2"/>
  <c r="H18" i="2" s="1"/>
  <c r="G17" i="2"/>
  <c r="H17" i="2" s="1"/>
  <c r="H16" i="2"/>
  <c r="G16" i="2"/>
  <c r="H15" i="2"/>
  <c r="G15" i="2"/>
  <c r="G14" i="2"/>
  <c r="H14" i="2" s="1"/>
  <c r="H13" i="2"/>
  <c r="G13" i="2"/>
  <c r="G12" i="2"/>
  <c r="H12" i="2" s="1"/>
  <c r="G11" i="2"/>
  <c r="H11" i="2" s="1"/>
  <c r="H10" i="2"/>
  <c r="G10" i="2"/>
  <c r="H9" i="2"/>
  <c r="G9" i="2"/>
  <c r="G8" i="2"/>
  <c r="H8" i="2" s="1"/>
  <c r="H7" i="2"/>
  <c r="G7" i="2"/>
  <c r="G6" i="2"/>
  <c r="H6" i="2" s="1"/>
  <c r="G5" i="2"/>
  <c r="B5" i="4" s="1"/>
  <c r="C38" i="1"/>
  <c r="C37" i="1"/>
  <c r="C36" i="1"/>
  <c r="C35" i="1"/>
  <c r="C34" i="1"/>
  <c r="C31" i="1"/>
  <c r="C30" i="1"/>
  <c r="C29" i="1"/>
  <c r="H33" i="2" l="1"/>
  <c r="H90" i="2"/>
  <c r="H70" i="2"/>
  <c r="H84" i="2"/>
  <c r="H77" i="2"/>
  <c r="H45" i="2"/>
  <c r="C9" i="1"/>
  <c r="B17" i="4"/>
  <c r="H39" i="2"/>
  <c r="B14" i="4"/>
  <c r="G70" i="2"/>
  <c r="H5" i="2"/>
  <c r="H20" i="2" s="1"/>
  <c r="C32" i="1"/>
  <c r="C40" i="1" s="1"/>
  <c r="H24" i="2"/>
  <c r="H25" i="2" s="1"/>
  <c r="H38" i="2"/>
  <c r="H92" i="2"/>
  <c r="H94" i="2" s="1"/>
  <c r="C33" i="1"/>
  <c r="G25" i="2"/>
  <c r="G100" i="2" s="1"/>
  <c r="C4" i="1" s="1"/>
  <c r="C5" i="1" s="1"/>
  <c r="C6" i="1" s="1"/>
  <c r="C7" i="1" s="1"/>
  <c r="C8" i="1" s="1"/>
  <c r="C10" i="1" s="1"/>
  <c r="B6" i="4"/>
  <c r="B15" i="4" s="1"/>
  <c r="B16" i="4" s="1"/>
  <c r="B7" i="4"/>
  <c r="B8" i="4"/>
  <c r="B9" i="4"/>
  <c r="B10" i="4"/>
  <c r="B11" i="4"/>
  <c r="B12" i="4"/>
  <c r="C16" i="1" l="1"/>
  <c r="B20" i="4" s="1"/>
  <c r="C15" i="1"/>
  <c r="B19" i="4" s="1"/>
  <c r="C14" i="1"/>
  <c r="B18" i="4" s="1"/>
  <c r="H100" i="2"/>
  <c r="C18" i="1" l="1"/>
  <c r="C24" i="1" l="1"/>
  <c r="B21" i="4"/>
  <c r="C25" i="1"/>
  <c r="C19" i="1"/>
  <c r="B26" i="4" s="1"/>
  <c r="C49" i="1"/>
  <c r="C50" i="1" s="1"/>
  <c r="B25" i="4" l="1"/>
  <c r="B24" i="4"/>
  <c r="C20" i="1"/>
  <c r="B27" i="4" s="1"/>
</calcChain>
</file>

<file path=xl/sharedStrings.xml><?xml version="1.0" encoding="utf-8"?>
<sst xmlns="http://schemas.openxmlformats.org/spreadsheetml/2006/main" count="779" uniqueCount="514">
  <si>
    <t>SCH-1024  |  ROM COST ESTIMATE  |  LEVEL 3  |  FY27  |  PAX ID 387356  |  Fi Web BU26PPE70M</t>
  </si>
  <si>
    <t>Element</t>
  </si>
  <si>
    <t>Amount ($)</t>
  </si>
  <si>
    <t>Formula / Source</t>
  </si>
  <si>
    <t>1</t>
  </si>
  <si>
    <t>Base Direct Cost (FY24 CONUS)</t>
  </si>
  <si>
    <t>2</t>
  </si>
  <si>
    <t>x ACF 1.85 (Camp Schwab) = ACF-Adjusted Cost</t>
  </si>
  <si>
    <t xml:space="preserve"> C4 x ACF 1.85 per UFC 3-701-01 w/Change 7 (25 Jul 2025), Table 4-1, M67400-0004</t>
  </si>
  <si>
    <t>3</t>
  </si>
  <si>
    <t>x Compound Escalation Factor = Escalated Cost (FY27)</t>
  </si>
  <si>
    <t xml:space="preserve"> C5 x (1.021)^3 = 1.0643  |  FY24 to FY27  |  OSD FY25 published rate</t>
  </si>
  <si>
    <t>4</t>
  </si>
  <si>
    <t>x (1 + General Requirements 10%) = Gen Req Applied</t>
  </si>
  <si>
    <t xml:space="preserve"> C6 x 1.10  |  General Requirements per UFS 3-740-05</t>
  </si>
  <si>
    <t>5</t>
  </si>
  <si>
    <t>x (1 + Contingency 10%) = Construction Subtotal</t>
  </si>
  <si>
    <t>6</t>
  </si>
  <si>
    <t>+ LSH Allowance (2.5% of PRV)</t>
  </si>
  <si>
    <t xml:space="preserve"> PRV $96,523,347 x 2.5%  |  Post-conversion 4-FAC formula  |  iNFADS RPUID 148675  |  MCO 11000.12  |  NAVFAC 11010.44E CH-1</t>
  </si>
  <si>
    <t>CONSTRUCTION BASE  (Construction Subtotal + LSH)</t>
  </si>
  <si>
    <t xml:space="preserve"> Construction Subtotal + LSH Allowance</t>
  </si>
  <si>
    <t>B.  PROGRAM ADDERS</t>
  </si>
  <si>
    <t>Design (6.0%)</t>
  </si>
  <si>
    <t xml:space="preserve"> Construction Base x 6.0%  |  NAVFAC agency-directed</t>
  </si>
  <si>
    <t xml:space="preserve"> Construction Base x 8.0%  |  OCONUS FSRM customer-directed rate (NOT standard 7.3%)</t>
  </si>
  <si>
    <t>Construction Management (4.0%)</t>
  </si>
  <si>
    <t xml:space="preserve"> Construction Base x 4.0%  |  NAVFAC agency-directed</t>
  </si>
  <si>
    <t>TOTAL FUNDED COST</t>
  </si>
  <si>
    <t xml:space="preserve"> Construction Base + Design + SIOH + CM  |  rounded to nearest dollar</t>
  </si>
  <si>
    <t xml:space="preserve"> Total Funded x 4.0%  |  UFC 3-730-01 (2024)  |  applied after Total Funded per DD1391 convention</t>
  </si>
  <si>
    <t>TOTAL PROJECT COST</t>
  </si>
  <si>
    <t xml:space="preserve"> Total Funded + Design-Build Design</t>
  </si>
  <si>
    <t>C.  COST PER SQUARE FOOT</t>
  </si>
  <si>
    <t>Item</t>
  </si>
  <si>
    <t>Basis</t>
  </si>
  <si>
    <t>Cost / Whole Building GSF (84,861 SF)</t>
  </si>
  <si>
    <t xml:space="preserve"> Total Funded / total building GSF  |  systems repair benchmark  |  LSH is dominant driver at this scope level</t>
  </si>
  <si>
    <t>Cost / First Floor GSF (26,488 SF)</t>
  </si>
  <si>
    <t xml:space="preserve"> First floor renovation scope  |  HE Schedule room-by-room confirmed SF</t>
  </si>
  <si>
    <t>Code</t>
  </si>
  <si>
    <t>Category</t>
  </si>
  <si>
    <t>Base Direct ($)</t>
  </si>
  <si>
    <t>Description / Items</t>
  </si>
  <si>
    <t>B20</t>
  </si>
  <si>
    <t>Exterior Enclosure</t>
  </si>
  <si>
    <t>CMU infill at window openings; new weapons port windows (11 EA)</t>
  </si>
  <si>
    <t>C10</t>
  </si>
  <si>
    <t>Interior Construction</t>
  </si>
  <si>
    <t>Vault doors/frames; structural walls; partitions; COMM room; security doors; OSS vault entrance reinforcement</t>
  </si>
  <si>
    <t>C30</t>
  </si>
  <si>
    <t>Interior Finishes</t>
  </si>
  <si>
    <t>Wall paint; VCT flooring; CT tile; bathroom finishes; OSS space finishes</t>
  </si>
  <si>
    <t>D20</t>
  </si>
  <si>
    <t>Plumbing</t>
  </si>
  <si>
    <t>Cap plumbing; remove fixtures; OSS plumbing removal; laundry cap; water fountains; restrooms</t>
  </si>
  <si>
    <t>D30</t>
  </si>
  <si>
    <t>HVAC</t>
  </si>
  <si>
    <t>Ceiling fixture realign; gym HVAC; exhaust vents; split A/C; DX multi-zone; chiller replacement; TAB</t>
  </si>
  <si>
    <t>D40</t>
  </si>
  <si>
    <t>Fire Protection</t>
  </si>
  <si>
    <t>Fire hose cabinets replacement (4 EA) in new armory spaces</t>
  </si>
  <si>
    <t>D50</t>
  </si>
  <si>
    <t>Electrical / Communications</t>
  </si>
  <si>
    <t>IDS/ESS; quad WAOs; SIPR network; electrical mods; TR construction; OSP/ISP cabling</t>
  </si>
  <si>
    <t>E20</t>
  </si>
  <si>
    <t>Furnishings</t>
  </si>
  <si>
    <t>Metal shelves at weapons issue port windows (11 EA)</t>
  </si>
  <si>
    <t>F20</t>
  </si>
  <si>
    <t>Selective Building Demolition</t>
  </si>
  <si>
    <t>Window/door removal; ceiling demo; gym demo; OSS full gut; telecom removal; asbestos mastic abatement</t>
  </si>
  <si>
    <t>G10</t>
  </si>
  <si>
    <t>Site Preparation</t>
  </si>
  <si>
    <t>Tree removal (6 EA) at new exterior pad locations</t>
  </si>
  <si>
    <t>G20</t>
  </si>
  <si>
    <t>Site Improvements</t>
  </si>
  <si>
    <t>Walkways/railings; concrete landings; exterior pads; covered overhangs; pavilion</t>
  </si>
  <si>
    <t>TOTAL BASE DIRECT COST (FY24 CONUS)</t>
  </si>
  <si>
    <t>E.  ESTIMATE VERSION HISTORY</t>
  </si>
  <si>
    <t>Estimate Version</t>
  </si>
  <si>
    <t>Total Funded ($)</t>
  </si>
  <si>
    <t>Notes</t>
  </si>
  <si>
    <t>Armory conversion only</t>
  </si>
  <si>
    <t>Expanded scope: armory + gym + OSS vault</t>
  </si>
  <si>
    <t>v8  (05 Mar 2026)</t>
  </si>
  <si>
    <t>67-item worklist  |  2-FAC PRV (FAC 7210/4427 only)</t>
  </si>
  <si>
    <t>v9  (08 Mar 2026)</t>
  </si>
  <si>
    <t>v10  (10 Mar 2026)</t>
  </si>
  <si>
    <t>PRV corrected per UFC 3-701-01 Eq 3-1: full HF(1.0) x PD(1.09) x SIOH(1.08) x CF(1.05) applied  |  LSH corrected from ~$1,952K to ~$2,413K (delta ~$461K)  |  invalid authority references corrected throughout</t>
  </si>
  <si>
    <t>Delta (v11 vs v10)</t>
  </si>
  <si>
    <t>F.  METHODOLOGY SUMMARY</t>
  </si>
  <si>
    <t>1. Estimate Level</t>
  </si>
  <si>
    <t>Level 3 ROM per UFS 3-740-05 (2 Feb 2026), Table 2-1. Non-mandatory supplement; For Information Only. No accuracy percentage ranges cited. Site surveys complete; detailed FEAD worklist with quantities; no 35% A/E design. Scope documented per UNIFORMAT II Level 2.</t>
  </si>
  <si>
    <t>2. Scope Basis</t>
  </si>
  <si>
    <t>67 discrete work items across 11 scope groups. First floor only. CCN 14345 (Armory) / CCN 72111 (BEQ) / CCN 61010 (Admin) per UFC 2-000-05N. Source: FEAD worklist 4th MarRegt/CLB-4 consolidation. DD Form 1391 PAX ID 387356. iNFADS RPUID 148675.</t>
  </si>
  <si>
    <t>3. Area Cost Factor</t>
  </si>
  <si>
    <t>4. Escalation</t>
  </si>
  <si>
    <t>2.1%/yr; OSD FY25 published rate, client-confirmed. FY24 base to FY27 target = 3 years. Compound factor (1.021)^3 = 1.0643 (live formula in PARAMETERS B21).</t>
  </si>
  <si>
    <t>5. General Requirements</t>
  </si>
  <si>
    <t>10.0%, FSRM program-directed. Covers mobilization, field supervision, temporary facilities, safety, QC, and contractor OH&amp;P.</t>
  </si>
  <si>
    <t>6. Contingency</t>
  </si>
  <si>
    <t>10.0%, FSRM program-directed, Level 3 ROM. UFS 3-740-05 (2 Feb 2026).</t>
  </si>
  <si>
    <t>7. LSH</t>
  </si>
  <si>
    <t>Post-conversion 4-FAC formula method. LSH = Total PRV x 2.5% (PARAMETERS B51; see rows 37-56 for full Eq 3-1 detail). Factors: ACF 1.85 (UFC 3-701-01 C7 Table 4-1), HF 1.0 (non-historical), PD 1.09 (non-medical), SIOH 1.08, CF 1.05; combined HF x PD x SIOH x CF = 1.23606. Authority: UFC 3-701-01 w/Change 7 (25 Jul 2025), Equation 3-1  |  NAVFAC 11010.44E CH-1  |  MCO 11000.12 (08 Sep 2014)  |  iNFADS RPUID 148675.</t>
  </si>
  <si>
    <t>8. Program Adders</t>
  </si>
  <si>
    <t>Design 6%, NAVFAC agency-directed. SIOH 8.0% OCONUS FSRM customer-directed (NOT standard 7.3%; deviation documented; the 8.0% adder is separate from the 1.08 SIOH factor in Equation 3-1 PRV calculation). CM 4% agency-directed. DB Design 4% applied AFTER Total Funded per UFC 3-730-01 (2024). Delivery method: Design-Build (DB).</t>
  </si>
  <si>
    <t>9. Unit Cost Basis</t>
  </si>
  <si>
    <t>FY24 CONUS pre-ACF unit costs per RS Means assembly-level data. (1) Armory Vault Conversion: masonry, security hardware, finishes, plumbing capping, electrical, and IDS/ESS; vault door unit cost from confirmed vendor quote with documented OCONUS air freight. (2) Armory Exterior: concrete flatwork, safety railings, paving. (3) Gym to Workspace: selective demolition, partitions, finishes, MEP modifications. (4) Comm Room / Weapons Cleaning: room construction, dedicated MEP, split A/C. (5) Admin (Laundry Conversion): plumbing capping, HVAC, interior finishes. (6) OSS Vault: structural demolition, finishes, plumbing, MEP, DX A/C, SIPR per CNSSAM TEMPEST/01-13, vault door. (7) Building General: chiller replacement, TAB, life safety. (8) Building Telecom: TR build-out per UFC 3-580-01 and MCIPAC G-6 Policy Letter 03-2024. (9) Exterior: covered overhangs, pavilion, site work. (10) Restrooms/Miscellaneous. (11) Hazardous Materials: ROM unit cost per UFC 3-470-06 and 40 CFR Part 61 NESHAP; ACM scope per Bhate Environmental Associates survey (19 Nov 2001), H3 finding (15% Chrysotile mastic, 8,392 LF building-wide). LSH is a significant share of Total Funded given Building 1024 total scale (84,861 SF) relative to the targeted first-floor renovation scope.</t>
  </si>
  <si>
    <t>10. Items Requiring Verification</t>
  </si>
  <si>
    <t>JPY/USD exchange rate (PARAMETERS B33): confirm from Federal Reserve H.10 on date of PAX submission.</t>
  </si>
  <si>
    <t>11. Methodology Deviations</t>
  </si>
  <si>
    <t>12. Prepared By</t>
  </si>
  <si>
    <t>13. Version History</t>
  </si>
  <si>
    <t>SCH-1024  |  SCOPE DETAIL &amp; QUANTITY TAKEOFF  |  BASE YEAR FY24 CONUS DIRECT COSTS  |  Fi Web BU26PPE70M</t>
  </si>
  <si>
    <t xml:space="preserve"> Blue = confirmed scope. Black = formula. All unit costs FY24 CONUS pre-ACF. JPY rate: Federal Reserve H.10 (informational only, confirm before PAX submission).</t>
  </si>
  <si>
    <t>Group</t>
  </si>
  <si>
    <t>Work Description</t>
  </si>
  <si>
    <t>Qty</t>
  </si>
  <si>
    <t>Unit</t>
  </si>
  <si>
    <t>Unit Cost
(FY24 CONUS)</t>
  </si>
  <si>
    <t>Extended
Cost</t>
  </si>
  <si>
    <t>JPY Equiv</t>
  </si>
  <si>
    <t>UNIFORMAT
II Lv2</t>
  </si>
  <si>
    <t>Cost Basis / Notes</t>
  </si>
  <si>
    <t>1.  ARMORY VAULT CONVERSION - 28 Barracks Rooms to 14 Armory Vaults</t>
  </si>
  <si>
    <t>Armory</t>
  </si>
  <si>
    <t>New vault doors/frames/locksets - GSA Class V, Hamilton CI-5 (4 armory hallway locations)</t>
  </si>
  <si>
    <t>EA</t>
  </si>
  <si>
    <t>Hamilton CI-5 door + flange set: $10,143.40 | Prorated air freight (TQL Global, 5-door shipment CVG-OKA): $1,956.00 | Install labor (certified 2-person crew, OCONUS): $2,500.00 | Unit total: $14,599.40</t>
  </si>
  <si>
    <t>Structural walls to support vault doors, drop ceiling infrastructure</t>
  </si>
  <si>
    <t>Reinforced masonry/concrete walls, headers, lintels for vault door support</t>
  </si>
  <si>
    <t>Remove 28 windows/frames and 2 exit doors/frames (30 openings total)</t>
  </si>
  <si>
    <t>Window and door removal incl frame, disposal</t>
  </si>
  <si>
    <t>CMU wall enclosures at 17 former window openings</t>
  </si>
  <si>
    <t>CMU infill 5'x6' openings: block, mortar, rebar, tie-in to existing structure</t>
  </si>
  <si>
    <t>New weapons port issue windows - custom steel frame, ballistic rated (11 EA)</t>
  </si>
  <si>
    <t>Custom fabricated steel-frame weapon issue port windows, installed</t>
  </si>
  <si>
    <t>Remove drop ceilings in all 28 armory rooms (6,270 SF)</t>
  </si>
  <si>
    <t>SF</t>
  </si>
  <si>
    <t>Ceiling grid/tile removal, disposal</t>
  </si>
  <si>
    <t>Paint all armory interior walls - 28 rooms (6,270 SF)</t>
  </si>
  <si>
    <t>Interior latex paint, wall prep</t>
  </si>
  <si>
    <t>Armory bathrooms: Remove CT floor/walls, refinish, paint - 11 bathrooms (~1,650 SF)</t>
  </si>
  <si>
    <t>Ceramic tile removal, skim coat, paint, VCT. 11 baths x 150 SF</t>
  </si>
  <si>
    <t>Remove 11 bathroom fixture sets (toilet, tub, sink, accessories)</t>
  </si>
  <si>
    <t>Full fixture removal, disconnect, disposal per set</t>
  </si>
  <si>
    <t>Cap plumbing lines - 11 armory bathrooms</t>
  </si>
  <si>
    <t>Cap water supply/drainage, includes access and patching</t>
  </si>
  <si>
    <t>Adjust valves to limit deadlegs in capped armory plumbing lines</t>
  </si>
  <si>
    <t>LS</t>
  </si>
  <si>
    <t>System-wide valve adjustment to prevent stagnation</t>
  </si>
  <si>
    <t>Realign all electrical/mechanical ceiling fixtures after ceiling removal - 28 rooms</t>
  </si>
  <si>
    <t>Relocate/adjust HVAC diffusers, sprinklers, fire alarm, lighting per room</t>
  </si>
  <si>
    <t>Electronic Security System (IDS) - 2 zones, 14 vaults: panel, BMS, PIR, keypads, fiber, conduit</t>
  </si>
  <si>
    <t>ESAMS-compliant IDS: 2 zones, 14 vault areas, BMS, PIR, keypads, fiber backbone, conduit, testing</t>
  </si>
  <si>
    <t>Install 28 new quad Work Area Outlets (WAOs) in armory spaces</t>
  </si>
  <si>
    <t>Quad WAO: 4-port data/voice outlet, conduit, cabling, termination</t>
  </si>
  <si>
    <t>New metal shelves at 11 weapons issue port windows</t>
  </si>
  <si>
    <t>Stainless/galvanized steel shelf, brackets, fasteners</t>
  </si>
  <si>
    <t>SUBTOTAL - ARMORY VAULT CONVERSION</t>
  </si>
  <si>
    <t>2.  ARMORY EXTERIOR - Walkways, Landings, Concrete Pads</t>
  </si>
  <si>
    <t>Armory Ext</t>
  </si>
  <si>
    <t>Extend backside walkways - concrete sidewalk, safety railings (~200 LF)</t>
  </si>
  <si>
    <t>LF</t>
  </si>
  <si>
    <t>Concrete sidewalk, railings, grading, landscaping</t>
  </si>
  <si>
    <t>New exterior landing/walkway at 11 weapons issue port windows</t>
  </si>
  <si>
    <t>Concrete landing pad ~100 SF each at 11 issue window locations</t>
  </si>
  <si>
    <t>New exterior concrete pads at issue windows - civil (11 locations x 80 SF)</t>
  </si>
  <si>
    <t>Formed concrete pad, 4 inch, gravel base</t>
  </si>
  <si>
    <t>SUBTOTAL - ARMORY EXTERIOR</t>
  </si>
  <si>
    <t>3.  GYM TO WORKSPACE CONVERSION - CLB-4 Commo Swing Space to 4th MarRegt Admin/Ops</t>
  </si>
  <si>
    <t>Gym/Admin</t>
  </si>
  <si>
    <t>Gym hallway: Patch concrete baseboard/wall, paint interior, new VCT flooring</t>
  </si>
  <si>
    <t>Minor patching, paint, and flooring in gym hallway</t>
  </si>
  <si>
    <t>3A</t>
  </si>
  <si>
    <t>Demo existing gym equipment mounting, flooring, wall finishes (~1,749 SF)</t>
  </si>
  <si>
    <t>Remove gym flooring, wall-mounted equipment anchors, patch</t>
  </si>
  <si>
    <t>3B</t>
  </si>
  <si>
    <t>New VCT flooring in converted workspace area (1,749 SF)</t>
  </si>
  <si>
    <t>VCT tile, adhesive, prep - commercial grade</t>
  </si>
  <si>
    <t>3C</t>
  </si>
  <si>
    <t>Partitions for storage and secured storage within converted gym</t>
  </si>
  <si>
    <t>Gypsum board partitions, doors, hardware</t>
  </si>
  <si>
    <t>3D</t>
  </si>
  <si>
    <t>Electrical and lighting modifications for workspace conversion</t>
  </si>
  <si>
    <t>New outlets, switches, LED lighting for office/admin use</t>
  </si>
  <si>
    <t>3E</t>
  </si>
  <si>
    <t>HVAC adjustments for workspace occupancy load change</t>
  </si>
  <si>
    <t>Adjust supply/return, add diffusers if needed</t>
  </si>
  <si>
    <t>SUBTOTAL - GYM TO WORKSPACE</t>
  </si>
  <si>
    <t>4.  COMM ROOM &amp; WEAPONS CLEANING AREA</t>
  </si>
  <si>
    <t>Comm Room</t>
  </si>
  <si>
    <t>Add exhaust ventilation to new indoor weapons cleaning area</t>
  </si>
  <si>
    <t>Exhaust fan, ductwork, exterior louver, controls for weapons cleaning fumes</t>
  </si>
  <si>
    <t>Rec Room: New COMM room 8'x10' w/ gypsum walls, VCT, paint; replace acoustical ceiling</t>
  </si>
  <si>
    <t>New 80 SF room: partitions, door, ceiling, flooring, paint</t>
  </si>
  <si>
    <t>Rec Room: New electrical outlets and switches in COMM room</t>
  </si>
  <si>
    <t>Outlets, switches, dedicated circuits for comm equipment</t>
  </si>
  <si>
    <t>Split A/C systems for telecom room and COMMSEC storage vault (2 EA)</t>
  </si>
  <si>
    <t>Ductless mini-split A/C, dedicated cooling for telecom/COMMSEC spaces</t>
  </si>
  <si>
    <t>SUBTOTAL - COMM ROOM &amp; WEAPONS CLEANING</t>
  </si>
  <si>
    <t>5.  ADMIN - Laundry Room Conversion to Administrative Workspace</t>
  </si>
  <si>
    <t>Admin</t>
  </si>
  <si>
    <t>Adjust HVAC supply duct/diffusers and exhaust for admin use in laundry room</t>
  </si>
  <si>
    <t>Reroute/adjust ductwork, diffusers, registers for office occupancy</t>
  </si>
  <si>
    <t>Cap water supply, drainage, floor drains for washers and utility sink; adjust valves</t>
  </si>
  <si>
    <t>Cap and seal all laundry plumbing, reduce deadlegs</t>
  </si>
  <si>
    <t>Laundry Room: Repaint all interior walls, new VCT flooring (~300 SF)</t>
  </si>
  <si>
    <t>Interior paint + VCT: $4/SF paint + $5/SF VCT</t>
  </si>
  <si>
    <t>Remove dryer exhaust duct and cap wall vent</t>
  </si>
  <si>
    <t>Duct removal, vent cap, patch and paint exterior/interior wall</t>
  </si>
  <si>
    <t>SUBTOTAL - ADMIN (LAUNDRY CONVERSION)</t>
  </si>
  <si>
    <t>6.  BATHS TO OSS VAULT - Locker Rooms / Sauna / Steam Room to OSS w/ SIPR Network</t>
  </si>
  <si>
    <t>Baths&gt;OSS</t>
  </si>
  <si>
    <t>Demo CIP concrete walls in shower/locker/sauna areas for open floorplan</t>
  </si>
  <si>
    <t>Structural demolition of CIP concrete walls - engineering assessment required for load-bearing</t>
  </si>
  <si>
    <t>Cut CIP wall for new door opening from showers to hallway</t>
  </si>
  <si>
    <t>Saw-cut CIP wall, install new header/frame - structural engineering required</t>
  </si>
  <si>
    <t>Mens: Complete demo - toilet partitions, CT floor/walls, fixtures, lockers, ceiling, showers</t>
  </si>
  <si>
    <t>Full gut: 2 toilets, 2 urinals, 2 sinks, 2 showers, partitions, lockers, tile, ceiling</t>
  </si>
  <si>
    <t>Womens: Complete demo - benches, showers, fixtures, CT floor/walls, partitions, ceiling</t>
  </si>
  <si>
    <t>Full gut: 2 showers, 2 toilets, 2 sinks, partitions, tile, ceiling</t>
  </si>
  <si>
    <t>Sauna Room: Remove all wood seats/benches/ceiling/walls/flooring, brick enclosure, exhaust vents</t>
  </si>
  <si>
    <t>Complete sauna strip-out to bare structure</t>
  </si>
  <si>
    <t>Steam Room: Remove ceramic tile walls, benches, flooring, door/frame</t>
  </si>
  <si>
    <t>Complete steam room strip-out including tile and moisture barriers</t>
  </si>
  <si>
    <t>Mens: New ceiling, wall refinish/paint, level floor, VCT, plug drains (~398 SF)</t>
  </si>
  <si>
    <t>Full renovation finishes: ceiling grid/tile, wall prep/paint, floor leveling, VCT</t>
  </si>
  <si>
    <t>Womens: New lighting, VCT flooring, wall refinish/paint, new alum door/frame/lockset (~300 SF)</t>
  </si>
  <si>
    <t>Full renovation finishes + new aluminum entry door assembly</t>
  </si>
  <si>
    <t>Sauna Room: New VCT flooring, refinish concrete walls, new ceiling, entry door (~97 SF)</t>
  </si>
  <si>
    <t>Convert to admin space: floor, walls, ceiling, door</t>
  </si>
  <si>
    <t>Steam Room: New VCT flooring, refinish concrete walls, new ceiling, entry door (~124 SF)</t>
  </si>
  <si>
    <t>Fitness Room Vault: New security door/frame/lockset/closure (X-10 combination lock)</t>
  </si>
  <si>
    <t>Heavy-duty security door with X-10 lock for COMMSEC storage</t>
  </si>
  <si>
    <t>Modify/cap/remove all plumbing - sauna, steam, mens/womens locker rooms</t>
  </si>
  <si>
    <t>Full plumbing removal/capping across 4 wet areas</t>
  </si>
  <si>
    <t>Install new DX multi-zone split A/C system for new OSS area</t>
  </si>
  <si>
    <t>Multi-zone VRF/DX: outdoor unit, indoor units, refrigerant piping, controls, startup</t>
  </si>
  <si>
    <t>Steam Room area: New electrical light fixtures, outlets, switches, COMM drops</t>
  </si>
  <si>
    <t>Electrical fit-out for converted admin space</t>
  </si>
  <si>
    <t>Sauna Room: Remove existing electrical, new lights/outlets/switches, COMM drops</t>
  </si>
  <si>
    <t>Full electrical replacement for converted space</t>
  </si>
  <si>
    <t>Mens: New electrical light fixtures, outlets, switches, COMM requirements</t>
  </si>
  <si>
    <t>Womens: New electrical fixtures, wiring, outlets, switches, relocate fire alarm</t>
  </si>
  <si>
    <t>Electrical fit-out + fire alarm relocation</t>
  </si>
  <si>
    <t>Steam Room: Remove electrical fixtures/lights/alarms/wiring</t>
  </si>
  <si>
    <t>Demo tier electrical removal (supplement item 29)</t>
  </si>
  <si>
    <t>Mens: Remove all electrical light fixtures and switches</t>
  </si>
  <si>
    <t>Demo tier electrical removal</t>
  </si>
  <si>
    <t>Womens: Remove all electrical fixtures, wiring, outlets, switches</t>
  </si>
  <si>
    <t>SIPR network: Lockable wallmount enclosure, backboard, ground bus bar, fiber optic from TR, ~10 quad WAOs, conduit - CNSSAM TEMPEST/01-13</t>
  </si>
  <si>
    <t>Full SIPR infrastructure per CNSSAM TEMPEST/01-13: enclosure, backboard, bus bar, fiber, WAOs, conduit, testing</t>
  </si>
  <si>
    <t>OSS Vault entrance: GSA Class V vault door, frame, flange set, hardware, certified installation, and prorated air shipping (1 EA)</t>
  </si>
  <si>
    <t>Hamilton CI-5 door + flange set: $10,143.40 | Prorated air freight (TQL Global, 5-door shipment, CVG-OKA): $1,956.00 | Install labor (certified 2-person crew, OCONUS): $2,500.00 | Unit total: $14,599.40</t>
  </si>
  <si>
    <t>OSS Vault entrance: Structural reinforcement at CIP wall opening for vault door emplacement (steel header, threshold plate, anchor bolts into CIP wall)</t>
  </si>
  <si>
    <t>Supplemental to Item 35 (CIP wall cut $5,000). Vault door ~900 lbs requires steel lintel, sill plate, and frame anchoring into existing CIP wall.</t>
  </si>
  <si>
    <t>SUBTOTAL - BATHS TO OSS VAULT</t>
  </si>
  <si>
    <t>7.  BUILDING GENERAL - Whole-Building Systems &amp; Life Safety</t>
  </si>
  <si>
    <t>Bldg General</t>
  </si>
  <si>
    <t>Adjust mechanical components first floor (HVAC diffusers, sprinklers, fire alarms) for ceiling removal</t>
  </si>
  <si>
    <t>First floor mechanical adjustment: sprinkler heads, diffusers, FA devices</t>
  </si>
  <si>
    <t>Replace air-cooled chillers (2 EA) and chilled water circulating pumps (2 EA) - END OF SERVICE LIFE</t>
  </si>
  <si>
    <t>CRITICAL: Chillers 12+ yrs past service life. 2x 100-150 ton chillers + 2x CW pumps + controls. VERIFY tonnage with FEAD mech engineer.</t>
  </si>
  <si>
    <t>Test, Adjust, Balance (TAB) all duct HVAC systems throughout facility (all 4 floors)</t>
  </si>
  <si>
    <t>Full building TAB per AABC/NEBB standards. VERIFY if scope is first floor only or whole building.</t>
  </si>
  <si>
    <t>Replace 4 fire hose cabinets in new armory spaces (recessed, stainless, w/ hose/extinguisher)</t>
  </si>
  <si>
    <t>Recessed FHC per NFPA 10, stainless steel finish</t>
  </si>
  <si>
    <t>Add supplemental water fountains in new OSS/Admin areas (4 EA)</t>
  </si>
  <si>
    <t>Wall-mounted water fountains, plumbing connection, ADA compliance</t>
  </si>
  <si>
    <t>SUBTOTAL - BUILDING GENERAL</t>
  </si>
  <si>
    <t>8.  BUILDING TELECOM - Telecom Room, OSP &amp; ISP Cabling per UFC 3-580-01</t>
  </si>
  <si>
    <t>Telecom</t>
  </si>
  <si>
    <t>Demo existing TR - remove all existing racks, cabling, equipment, flooring, paint</t>
  </si>
  <si>
    <t>Full TR strip-out for renovation</t>
  </si>
  <si>
    <t>Construct new TR: raised floor, racks, UPS, patch panels, grounding, EPO, fire suppression, HVAC</t>
  </si>
  <si>
    <t>Full TR build-out per UFC 3-580-01 and MCIPAC G6 policy</t>
  </si>
  <si>
    <t>Install OSP fiber optic cable from nearest demarcation point to building TR</t>
  </si>
  <si>
    <t>OSP fiber, conduit, hand-holes, termination</t>
  </si>
  <si>
    <t>Install ISP horizontal cabling - 28 drops to new armory spaces, admin, OSS areas</t>
  </si>
  <si>
    <t>Cat6A or OM3 fiber per MCIPAC G6 policy, conduit, termination</t>
  </si>
  <si>
    <t>Remove existing ISP cabling throughout first floor</t>
  </si>
  <si>
    <t>Removal of legacy cabling, conduit, boxes per demo scope</t>
  </si>
  <si>
    <t>SUBTOTAL - BUILDING TELECOM</t>
  </si>
  <si>
    <t>9.  EXTERIOR - Covered Overhangs, Pavilion, Site Work</t>
  </si>
  <si>
    <t>Exterior</t>
  </si>
  <si>
    <t>Tree removal at new exterior concrete pad locations (6 EA)</t>
  </si>
  <si>
    <t>Tree removal and disposal, stump grinding</t>
  </si>
  <si>
    <t>Steel-frame covered overhang at issue windows - 3 locations</t>
  </si>
  <si>
    <t>Steel-frame canopy structure, metal roofing, concrete footings, per location</t>
  </si>
  <si>
    <t>New outdoor pavilion - steel frame, metal roof, concrete slab (approx 20'x40')</t>
  </si>
  <si>
    <t>Steel-frame pavilion: columns, roof, 800 SF concrete slab, perimeter drainage</t>
  </si>
  <si>
    <t>Site drainage improvements at new concrete pad locations</t>
  </si>
  <si>
    <t>French drains or surface grading at pad locations</t>
  </si>
  <si>
    <t>SUBTOTAL - EXTERIOR</t>
  </si>
  <si>
    <t>10.  RESTROOMS &amp; MISCELLANEOUS</t>
  </si>
  <si>
    <t>Rest/Misc</t>
  </si>
  <si>
    <t>Public restroom: New fixtures (2 toilets, 2 sinks, accessories) for general use area</t>
  </si>
  <si>
    <t>Replace fixtures, handles, accessories - ADA compliance check</t>
  </si>
  <si>
    <t>New security door/frame/lockset for exterior storage (1 EA)</t>
  </si>
  <si>
    <t>Heavy-duty exterior security door with lockset and door closer</t>
  </si>
  <si>
    <t>SUBTOTAL - RESTROOMS &amp; MISCELLANEOUS</t>
  </si>
  <si>
    <t>11.  HAZARDOUS MATERIALS - Asbestos Mastic Abatement (Bhate Environmental Associates, 19 Nov 2001)</t>
  </si>
  <si>
    <t>Hazmat</t>
  </si>
  <si>
    <t>Asbestos mastic abatement - OSS full-gut areas (mens locker ~398 SF, womens ~300 SF, sauna ~97 SF, steam ~124 SF); cove base/kickboard removal triggers abatement of underlying H3 ACM mastic (15% Chrysotile)</t>
  </si>
  <si>
    <t>Bhate Survey 19 Nov 2001, H3: 15% Chrysotile mastic under kickboard, 8,392 LF building-wide. Scope-limited to OSS gut rooms only. Perimeter est from room SF. FEAD ENV/IH to field-verify LF and unit cost before construction.</t>
  </si>
  <si>
    <t>Asbestos mastic abatement - armory bathroom VCT/CT renovation (11 bathrooms, ~1,650 SF total); floor tile and wall base removal at wall junctions triggers abatement of underlying H3 ACM mastic (15% Chrysotile)</t>
  </si>
  <si>
    <t>Bhate Survey 19 Nov 2001, H3. Armory scope Item 11: CT floor/wall removal in 11 baths. VCT/CT installation requires cove base removal at perimeter. Perimeter est: 11 baths x ~35 LF avg = 385 LF. FEAD ENV/IH to field-verify.</t>
  </si>
  <si>
    <t>Asbestos mastic abatement - gym conversion (VCT 1,749 SF, est. 168 LF perimeter) and laundry/admin conversion (VCT 300 SF, est. 70 LF perimeter); new VCT installation at wall base triggers abatement of underlying H3 ACM mastic</t>
  </si>
  <si>
    <t>Bhate Survey 19 Nov 2001, H3. Scope Items 3B (gym VCT) and 24 (laundry VCT) require base removal at wall perimeter. Combined perimeter est 238 LF. FEAD ENV/IH to field-verify.</t>
  </si>
  <si>
    <t>SUBTOTAL - HAZARDOUS MATERIALS (ASBESTOS MASTIC ABATEMENT)</t>
  </si>
  <si>
    <t>TOTAL BASE DIRECT COST  (FY24 CONUS Pre-ACF)</t>
  </si>
  <si>
    <t>SCH-1024  |  COST ESTIMATE PARAMETERS  |  LEVEL 3 ROM  |  FY27  |  PAX ID 387356  |  Fi Web BU26PPE70M</t>
  </si>
  <si>
    <t>PROJECT IDENTIFICATION</t>
  </si>
  <si>
    <t>Parameter</t>
  </si>
  <si>
    <t>Value</t>
  </si>
  <si>
    <t>Source / Authority</t>
  </si>
  <si>
    <t>Estimate Title</t>
  </si>
  <si>
    <t>SCH-1024 Armory Expansion &amp; 1st Floor Renovation</t>
  </si>
  <si>
    <t>Text</t>
  </si>
  <si>
    <t>DD Form 1391  |  PAX ID 387356  |  Fi Web BU26PPE70M</t>
  </si>
  <si>
    <t>Building / Installation</t>
  </si>
  <si>
    <t>SCH-1024  |  Camp Schwab, Okinawa, Japan</t>
  </si>
  <si>
    <t>MCIPAC G-F PPE</t>
  </si>
  <si>
    <t>Supported Units</t>
  </si>
  <si>
    <t>4th Marine Regiment  |  CLB-4</t>
  </si>
  <si>
    <t>Primary: 4th MarRegt  |  Secondary: CLB-4</t>
  </si>
  <si>
    <t>PAX ID</t>
  </si>
  <si>
    <t>ID</t>
  </si>
  <si>
    <t>PAX System</t>
  </si>
  <si>
    <t>Fi Web Project Number</t>
  </si>
  <si>
    <t>BU26PPE70M</t>
  </si>
  <si>
    <t>Fi Web - confirmed</t>
  </si>
  <si>
    <t>Primary Project CCN</t>
  </si>
  <si>
    <t>14345</t>
  </si>
  <si>
    <t>CCN</t>
  </si>
  <si>
    <t>Armory (Small Arms Storage)  |  FAC 4427  |  UFC 2-000-05N</t>
  </si>
  <si>
    <t>Estimate Date</t>
  </si>
  <si>
    <t>19 Mar 2026</t>
  </si>
  <si>
    <t>Date</t>
  </si>
  <si>
    <t>Date of estimate production</t>
  </si>
  <si>
    <t>Estimate Level</t>
  </si>
  <si>
    <t>Level 3 ROM</t>
  </si>
  <si>
    <t>UFS 3-740-05</t>
  </si>
  <si>
    <t>Accuracy range not cited; For Information Only</t>
  </si>
  <si>
    <t>Delivery Method</t>
  </si>
  <si>
    <t>Design-Build (DB)</t>
  </si>
  <si>
    <t>Method</t>
  </si>
  <si>
    <t>NAVFAC FEAD  |  all five Camp Schwab buildings  |  per G-F PPE direction</t>
  </si>
  <si>
    <t>COST INPUTS  (Blue = user input)</t>
  </si>
  <si>
    <t>Base Year</t>
  </si>
  <si>
    <t>FY</t>
  </si>
  <si>
    <t>FY24 CONUS base costs</t>
  </si>
  <si>
    <t>Target Fiscal Year</t>
  </si>
  <si>
    <t>FY27 construction start</t>
  </si>
  <si>
    <t>Area Cost Factor (ACF)</t>
  </si>
  <si>
    <t>Multiplier</t>
  </si>
  <si>
    <t>UFC 3-701-01 w/Change 7 (25 Jul 2025), Table 4-1 OCONUS, M67400-0004</t>
  </si>
  <si>
    <t>Escalation Rate (annual)</t>
  </si>
  <si>
    <t>%</t>
  </si>
  <si>
    <t>OSD FY25 published rate, client-confirmed; applies FY24 through FY27</t>
  </si>
  <si>
    <t>Escalation Years</t>
  </si>
  <si>
    <t>Years</t>
  </si>
  <si>
    <t>FY24 base to FY27 target = 3 years</t>
  </si>
  <si>
    <t>Compound Escalation Factor</t>
  </si>
  <si>
    <t>Factor</t>
  </si>
  <si>
    <t>(1 + 0.021)^3 = 1.0643322610  |  live formula</t>
  </si>
  <si>
    <t>General Requirements</t>
  </si>
  <si>
    <t>FSRM program-directed; UFC 3-701-01</t>
  </si>
  <si>
    <t>Contingency Rate</t>
  </si>
  <si>
    <t>Level 3 ROM - FSRM program-directed rate</t>
  </si>
  <si>
    <t>LSH Rate</t>
  </si>
  <si>
    <t>NAVFAC 11010.44E CH-1  |  MCO 11000.12 (08 Sep 2014)</t>
  </si>
  <si>
    <t>Design Rate</t>
  </si>
  <si>
    <t>NAVFAC agency-directed - 6%</t>
  </si>
  <si>
    <t>SIOH Rate</t>
  </si>
  <si>
    <t>OCONUS FSRM customer-directed rate - 8.0% (NOT standard 7.3%)</t>
  </si>
  <si>
    <t>Construction Management (CM)</t>
  </si>
  <si>
    <t>NAVFAC agency-directed - 4%</t>
  </si>
  <si>
    <t>Design-Build Design</t>
  </si>
  <si>
    <t>Applied AFTER Total Funded per UFC 3-730-01 (2024)</t>
  </si>
  <si>
    <t>First Floor GSF (HE Schedule)</t>
  </si>
  <si>
    <t>HE Schedule room-by-room total 1st floor  |  iNFADS RPUID 148675</t>
  </si>
  <si>
    <t>AREA (GSF) AND PRV  |  POST-CONVERSION 4-FAC FORMULA METHOD  |  iNFADS RPUID 148675</t>
  </si>
  <si>
    <t>Total Building GSF</t>
  </si>
  <si>
    <t>iNFADS confirmed  |  AE Worksheet  |  All 4 FAC codes combined</t>
  </si>
  <si>
    <t>RPUID</t>
  </si>
  <si>
    <t>iNFADS  |  Camp Schwab  |  pre-conversion BEQ/CIF; not yet updated for armory conversion</t>
  </si>
  <si>
    <t>FAC 7210 - Enlisted Unaccompanied Housing - GSF</t>
  </si>
  <si>
    <t>Floors 2-4 (58,373 SF) + 1F BEQ remnant (2,739 SF) + corridors/mech (5,039 SF) per HE Schedule</t>
  </si>
  <si>
    <t>FAC 7210 - Unit Cost (PUC)</t>
  </si>
  <si>
    <t>$/SF</t>
  </si>
  <si>
    <t>UFC 3-701-01 w/Change 7 (25 Jul 2025), Table 3 - confirmed direct read</t>
  </si>
  <si>
    <t>FAC 7210 - Sub-PRV  (GSF x PUC)</t>
  </si>
  <si>
    <t>$</t>
  </si>
  <si>
    <t xml:space="preserve"> =B36*B37  |  GSF x PUC; ACF and all Eq 3-1 factors applied at Total PRV (B50)</t>
  </si>
  <si>
    <t>FAC 4421 - General Purpose Warehouse (CIF) - GSF</t>
  </si>
  <si>
    <t>CIF in-place; excluded from construction scope; retained in PRV per NAVFAC 11010.44E CH-1</t>
  </si>
  <si>
    <t>FAC 4421 - Unit Cost (PUC)</t>
  </si>
  <si>
    <t>FAC 4421 - Sub-PRV  (GSF x PUC)</t>
  </si>
  <si>
    <t xml:space="preserve"> =B39*B40  |  GSF x PUC</t>
  </si>
  <si>
    <t>FAC 6102 - Admin / Large Unit HQ (gym conversion) - GSF</t>
  </si>
  <si>
    <t>CCN 61010 per UFC 2-000-05N  |  FAC 6102 client-confirmed 08 Mar 2026</t>
  </si>
  <si>
    <t>FAC 6102 - Unit Cost (PUC)</t>
  </si>
  <si>
    <t>FAC 6102 - Sub-PRV  (GSF x PUC)</t>
  </si>
  <si>
    <t xml:space="preserve"> =B42*B43  |  GSF x PUC</t>
  </si>
  <si>
    <t>FAC 4427 - Armory / Small Arms Storage - GSF</t>
  </si>
  <si>
    <t>872 SF existing armory (Rms 155/156/157) + 6,270 SF conversion (Rms 89-115,118) per HE Schedule</t>
  </si>
  <si>
    <t>FAC 4427 - Unit Cost (PUC)</t>
  </si>
  <si>
    <t>FAC 4427 - Sub-PRV  (GSF x PUC)</t>
  </si>
  <si>
    <t xml:space="preserve"> =B45*B46  |  GSF x PUC</t>
  </si>
  <si>
    <t>Historical Factor (HF)</t>
  </si>
  <si>
    <t>Non-historical; Building 1024 not on NRHP  |  UFC 3-701-01 w/Change 7 (25 Jul 2025)</t>
  </si>
  <si>
    <t>Productivity Differential (PD)</t>
  </si>
  <si>
    <t>Non-medical facility  |  UFC 3-701-01 w/Change 7 (25 Jul 2025)</t>
  </si>
  <si>
    <t>SIOH Factor (Eq 3-1 PRV multiplier)</t>
  </si>
  <si>
    <t>UFC 3-701-01 w/Change 7 (25 Jul 2025)  |  Separate from 8.0% SIOH program adder</t>
  </si>
  <si>
    <t>Contractor Factor (CF)</t>
  </si>
  <si>
    <t>UFC 3-701-01 w/Change 7 (25 Jul 2025)</t>
  </si>
  <si>
    <t>Combined Factor  (HF x PD x SIOH x CF)</t>
  </si>
  <si>
    <t xml:space="preserve"> =1.0 x 1.09 x 1.08 x 1.05 = 1.23606  |  UFC 3-701-01 Equation 3-1</t>
  </si>
  <si>
    <t>TOTAL PRV  (Sum sub-PRVs x ACF x Combined Factor)</t>
  </si>
  <si>
    <t xml:space="preserve"> =(B38+B41+B44+B47) x ACF x Combined Factor  |  UFC 3-701-01 Equation 3-1</t>
  </si>
  <si>
    <t>LSH Allowance  (=TOTAL PRV x LSH Rate)</t>
  </si>
  <si>
    <t xml:space="preserve"> =B53*B24  |  NAVFAC 11010.44E CH-1  |  LSH Rate from B24  |  Hardcoded to integer per G-24</t>
  </si>
  <si>
    <t>EXCHANGE RATE</t>
  </si>
  <si>
    <t>JPY/USD Exchange Rate</t>
  </si>
  <si>
    <t>Rate</t>
  </si>
  <si>
    <t>CONFIRM from Federal Reserve H.10 on date of PAX submission  |  JPY column is display-only; ROM chain is USD only</t>
  </si>
  <si>
    <t>KEY NOTES</t>
  </si>
  <si>
    <t>Escalation: OSD FY25 published rate 2.1%/yr confirmed. FY26/FY27 same rate applies per client direction.</t>
  </si>
  <si>
    <t>SIOH: 8.0% is the customer-directed OCONUS FSRM rate for MCIPAC G-F. This is NOT the standard OCONUS rate of 7.3%.</t>
  </si>
  <si>
    <t>Contingency: 10% is the FSRM program-directed rate for Level 3 ROM. Authority: UFS 3-740-05 (2 Feb 2026).</t>
  </si>
  <si>
    <t>DB Design (4%) is applied AFTER Total Funded Cost per UFC 3-730-01 (2024). Delivery method: Design-Build (DB).</t>
  </si>
  <si>
    <t>PRV uses post-conversion 4-FAC formula method. iNFADS RPUID 148675 reflects pre-conversion BEQ/CIF. Formula PRV governs until RPAO updates iNFADS.</t>
  </si>
  <si>
    <t xml:space="preserve"> All amounts in $000s per DD Form 1391 convention. All formulas reference ESTIMATE tab. Carry to dollar; round only here.</t>
  </si>
  <si>
    <t>Cost Element</t>
  </si>
  <si>
    <t>Amount ($000s)</t>
  </si>
  <si>
    <t>Exterior enclosure (B20)  |  CMU infill 17 EA + weapons port windows 11 EA</t>
  </si>
  <si>
    <t>Interior construction (C10)  |  vault doors, structural walls, partitions, security doors, OSS reinforcement</t>
  </si>
  <si>
    <t>Interior finishes (C30)  |  armory rooms, gym conversion, OSS spaces, admin</t>
  </si>
  <si>
    <t>Plumbing (D20)  |  armory capping, OSS removal, laundry cap, public restroom, water fountains</t>
  </si>
  <si>
    <t>HVAC/Mechanical (D30)  |  chiller replacement, multi-zone VRF, TAB, ceiling fixture realign</t>
  </si>
  <si>
    <t>Fire protection (D40)  |  recessed FHC per NFPA 10</t>
  </si>
  <si>
    <t>Electrical/Communications (D50)  |  IDS/ESS, 28 WAOs, SIPR network, TR build-out, ISP/OSP cabling</t>
  </si>
  <si>
    <t>Furnishings (E20)  |  stainless steel shelves at issue port windows</t>
  </si>
  <si>
    <t>Selective demolition (F20)  |  includes asbestos mastic abatement per Bhate survey 19 Nov 2001</t>
  </si>
  <si>
    <t>Site preparation (G10)  |  tree removal at new exterior pad locations</t>
  </si>
  <si>
    <t>Site improvements (G20)  |  concrete pads, walkways, covered overhangs, outdoor pavilion</t>
  </si>
  <si>
    <t>Subtotal  (Base Direct x ACF x Escalation x General Requirements)</t>
  </si>
  <si>
    <t>10% of Gen Req-applied subtotal (row 15)  |  FSRM program-directed</t>
  </si>
  <si>
    <t>PRV = $96,523,347  |  iNFADS RPUID 148675  |  MCO 11000.12  |  NAVFAC 11010.44E CH-1</t>
  </si>
  <si>
    <t>6.0% of Construction Base  |  NAVFAC agency-directed</t>
  </si>
  <si>
    <t>8.0% of Construction Base  |  OCONUS FSRM customer-directed (NOT standard 7.3%)</t>
  </si>
  <si>
    <t>4.0% of Construction Base  |  NAVFAC agency-directed</t>
  </si>
  <si>
    <t>Construction Base + Design + SIOH + CM</t>
  </si>
  <si>
    <t>CLASSIFICATION OF WORK</t>
  </si>
  <si>
    <t xml:space="preserve">  Construction</t>
  </si>
  <si>
    <t>100% of Total Funded  |  10 U.S.C. Section 2802</t>
  </si>
  <si>
    <t xml:space="preserve">  Special Interest: Restoration and Modernization</t>
  </si>
  <si>
    <t>100% SRM  |  MCO 11000.12  |  DoD 4270.5-M</t>
  </si>
  <si>
    <t>UFC 3-730-01 (2024)  |  DB design applied after Total Funded per DD Form 1391 convention</t>
  </si>
  <si>
    <t>Total Funded + Design-Build Design</t>
  </si>
  <si>
    <t>LOCKED PARAMETERS  (DO NOT CHANGE WITHOUT DIRECTION)</t>
  </si>
  <si>
    <t xml:space="preserve">  ACF</t>
  </si>
  <si>
    <t xml:space="preserve">  Escalation</t>
  </si>
  <si>
    <t>2.1%/yr  |  FY24 to FY27  |  (1.021)^3 = 1.0643  |  OSD FY25 published rate</t>
  </si>
  <si>
    <t xml:space="preserve">  General Requirements</t>
  </si>
  <si>
    <t>10.0%  |  FSRM program-directed</t>
  </si>
  <si>
    <t xml:space="preserve">  Contingency</t>
  </si>
  <si>
    <t>10.0%  |  FSRM program-directed  |  Level 3 ROM</t>
  </si>
  <si>
    <t xml:space="preserve">  SIOH</t>
  </si>
  <si>
    <t>8.0%  |  OCONUS FSRM customer-directed (NOT standard 7.3%)</t>
  </si>
  <si>
    <t xml:space="preserve">  Design</t>
  </si>
  <si>
    <t>6.0%  |  NAVFAC agency-directed  |  applied to Construction Base</t>
  </si>
  <si>
    <t xml:space="preserve">  CM</t>
  </si>
  <si>
    <t>4.0%  |  NAVFAC agency-directed  |  applied to Construction Base</t>
  </si>
  <si>
    <t xml:space="preserve">  DB Design</t>
  </si>
  <si>
    <t>4.0%  |  Total Funded  |  applied AFTER Total Funded  |  UFC 3-730-01 (2024)</t>
  </si>
  <si>
    <t xml:space="preserve">  Delivery Method</t>
  </si>
  <si>
    <t>1.85. Camp Schwab, Okinawa, Japan per UFC 3-701-01 w/Change 7 (25 Jul 2025), Table 4-1 OCONUS</t>
  </si>
  <si>
    <t>Anthony L. Potter  |  Facilities Professional  |  MCIPAC G-F PPE  |  19 Mar 2026</t>
  </si>
  <si>
    <t>See Section E above. Current version Total Funded references live formula =C18. Full version changelog from Oct 2025 initial ROM through v11 cosmetic alignment documented in Section E.</t>
  </si>
  <si>
    <t>1.  Exterior Enclosure - CMU infill and weapons port windows (28 openings)</t>
  </si>
  <si>
    <t>2.  Interior Construction - Vault doors, partitions, COMM room, OSS entrance</t>
  </si>
  <si>
    <t>3.  Interior Finishes - Paint, VCT, CT tile, bathroom and OSS finishes</t>
  </si>
  <si>
    <t>4.  Plumbing - Fixture capping, removal, and new water fountains</t>
  </si>
  <si>
    <t>5.  HVAC - Ceiling realign, exhaust, split A/C, DX multi-zone, chillers, TAB</t>
  </si>
  <si>
    <t>6.  Fire Protection - Fire hose cabinet replacement (4 EA)</t>
  </si>
  <si>
    <t>7.  Electrical / Communications - IDS, WAOs, SIPR, TR, OSP/ISP, lighting mods</t>
  </si>
  <si>
    <t>8.  Furnishings - Metal shelves at weapons issue windows (11 EA)</t>
  </si>
  <si>
    <t>9.  Selective Demolition - Window removal, ceiling demo, OSS gut, hazmat abatement</t>
  </si>
  <si>
    <t>10.  Site Preparation - Tree removal (6 EA)</t>
  </si>
  <si>
    <t>11.  Site Improvements - Walkways, landings, overhangs, pavilion</t>
  </si>
  <si>
    <t>From ESTIMATE tab C7 - pre-contingency subtotal</t>
  </si>
  <si>
    <t>Contingency (10.0%) - Level 3 ROM, FSRM Program-Directed</t>
  </si>
  <si>
    <t>Life Safety and Health (LSH) - 2.5% of PRV</t>
  </si>
  <si>
    <t>Design (6.0%) - Applied to Construction Base</t>
  </si>
  <si>
    <t>SIOH (8.0%) - OCONUS FSRM Customer-Directed Rate</t>
  </si>
  <si>
    <t>Design-Build Design (4.0%) - Applied AFTER Total Funded</t>
  </si>
  <si>
    <t>1.85 - Camp Schwab per UFC 3-701-01 w/Change 7 (25 Jul 2025), Table 4-1, M67400-0004</t>
  </si>
  <si>
    <t>A.  ROM FORMULA CHAIN - UFS 3-740-05 LEVEL 3</t>
  </si>
  <si>
    <t xml:space="preserve"> Sum of all 67 scope items - SCOPE_DETAIL tab</t>
  </si>
  <si>
    <t xml:space="preserve"> ROUND(C7 x 1.10, 0)  |  Level 3 ROM 10% contingency - FSRM program-directed</t>
  </si>
  <si>
    <t>SIOH (8.0% - OCONUS FSRM Customer-Directed)</t>
  </si>
  <si>
    <t>D.  UNIFORMAT II LEVEL 2 SUMMARY - Base Direct Cost (FY24 CONUS Pre-ACF)</t>
  </si>
  <si>
    <t xml:space="preserve"> Must equal Base Direct C4 exactly - SUMIF verification</t>
  </si>
  <si>
    <t>Oct 2025 - Initial ROM</t>
  </si>
  <si>
    <t>Feb 2026 - Expanded Scope</t>
  </si>
  <si>
    <t>v11  (19 Mar 2026) - CURRENT</t>
  </si>
  <si>
    <t>Post-conversion 4-FAC formula method governs per UFC 3-701-01 Equation 3-1. iNFADS RPUID 148675 reflects the pre-conversion FAC configuration; formula method applies until RPAO updates iNFADS to reflect post-conversion FAC codes. Sub-PRVs (GSF x PUC, pre-factor): FAC 7210 BEQ (66,151 SF x $480.00 = $31,752,480); FAC 4421 CIF (8,802 SF x $692.00 = $6,090,984); FAC 6102 Admin/Gym (2,766 SF x $473.00 = $1,308,318); FAC 4427 Armory (7,142 SF x $428.28 = $3,058,776); sum = $42,210,558. Full Eq 3-1 multipliers applied to sum: ACF 1.85, HF 1.0 (non-historical), PD 1.09 (non-medical), SIOH 1.08, CF 1.05; combined factor 1.23606. Total PRV = $42,210,558 x 1.85 x 1.23606 = $96,523,347 (formula-driven; PARAMETERS rows 36-54). LSH = Total PRV x 2.5% = $2,413,084. PUC source: UFC 3-701-01 w/Change 7 (25 Jul 2025), Table 3. Note: the 8.0% SIOH program adder applied to Construction Base is separate from and independent of the SIOH factor (1.08) within Equation 3-1 for PRV computation.</t>
  </si>
  <si>
    <t>Cosmetic alignment |  4-column ESTIMATE layout  |  UNIFORMAT Block 9 grouping  |  G-4/G-2/G-12 guardrail corrections  |  all scope items confirmed; JPY only remaining yellow flag  |  Section F Items 7, 10 updated</t>
  </si>
  <si>
    <t xml:space="preserve"> Cosmetic rebuild; scope and values unchanged</t>
  </si>
  <si>
    <t>Corrected PRV: 4-FAC post-conversion (7210/4421/6102/4427)  |  FAC 6102 gym/admin CCN 61010 client-confirmed 08 Mar 2026  |  NOTE: PRV formula incomplete in this version (HF/PD/SIOH/CF missing); corrected.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</si>
</sst>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"/>
    <numFmt numFmtId="165" formatCode="#,##0.000"/>
  </numFmts>
  <fonts count="14" x14ac:knownFonts="1">
    <font>
      <sz val="11"/>
      <color theme="1"/>
      <name val="Calibri"/>
      <family val="2"/>
      <charset val="1"/>
    </font>
    <font>
      <b/>
      <sz val="12"/>
      <color rgb="FFFFFFFF"/>
      <name val="Calibri"/>
      <charset val="1"/>
    </font>
    <font>
      <b/>
      <sz val="11"/>
      <color rgb="FFFFFFFF"/>
      <name val="Calibri"/>
      <charset val="1"/>
    </font>
    <font>
      <sz val="10"/>
      <color rgb="FF000000"/>
      <name val="Calibri"/>
      <charset val="1"/>
    </font>
    <font>
      <b/>
      <sz val="10"/>
      <color rgb="FF000000"/>
      <name val="Calibri"/>
      <charset val="1"/>
    </font>
    <font>
      <sz val="10"/>
      <color rgb="FF008000"/>
      <name val="Calibri"/>
      <charset val="1"/>
    </font>
    <font>
      <sz val="10"/>
      <color rgb="FF444444"/>
      <name val="Calibri"/>
      <charset val="1"/>
    </font>
    <font>
      <sz val="8"/>
      <color rgb="FF444444"/>
      <name val="Calibri"/>
      <charset val="1"/>
    </font>
    <font>
      <b/>
      <sz val="9"/>
      <color rgb="FFFFFFFF"/>
      <name val="Calibri"/>
      <charset val="1"/>
    </font>
    <font>
      <sz val="10"/>
      <color rgb="FF0070C0"/>
      <name val="Calibri"/>
      <charset val="1"/>
    </font>
    <font>
      <i/>
      <sz val="10"/>
      <color rgb="FFC00000"/>
      <name val="Calibri"/>
      <charset val="1"/>
    </font>
    <font>
      <b/>
      <sz val="10"/>
      <color rgb="FF008000"/>
      <name val="Calibri"/>
      <charset val="1"/>
    </font>
    <font>
      <sz val="8"/>
      <color rgb="FF444444"/>
      <name val="Calibri"/>
      <family val="2"/>
    </font>
    <font>
      <sz val="10"/>
      <color rgb="FF444444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1B2A4A"/>
        <bgColor rgb="FF003300"/>
      </patternFill>
    </fill>
    <fill>
      <patternFill patternType="solid">
        <fgColor rgb="FF2E4A7A"/>
        <bgColor rgb="FF1F4E79"/>
      </patternFill>
    </fill>
    <fill>
      <patternFill patternType="solid">
        <fgColor rgb="FFBDD7EE"/>
        <bgColor rgb="FFD6DCE4"/>
      </patternFill>
    </fill>
    <fill>
      <patternFill patternType="solid">
        <fgColor rgb="FFD9E1EC"/>
        <bgColor rgb="FFD6DCE4"/>
      </patternFill>
    </fill>
    <fill>
      <patternFill patternType="solid">
        <fgColor rgb="FFD6DCE4"/>
        <bgColor rgb="FFD9E1EC"/>
      </patternFill>
    </fill>
    <fill>
      <patternFill patternType="solid">
        <fgColor rgb="FFF2F5FA"/>
        <bgColor rgb="FFEBF5FF"/>
      </patternFill>
    </fill>
    <fill>
      <patternFill patternType="solid">
        <fgColor rgb="FFEBF5FF"/>
        <bgColor rgb="FFF2F5FA"/>
      </patternFill>
    </fill>
    <fill>
      <patternFill patternType="solid">
        <fgColor rgb="FFE8EEF6"/>
        <bgColor rgb="FFEBF5FF"/>
      </patternFill>
    </fill>
    <fill>
      <patternFill patternType="solid">
        <fgColor rgb="FFFFFF00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7" fillId="0" borderId="1" xfId="0" applyFont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/>
    <xf numFmtId="0" fontId="3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3" fillId="5" borderId="3" xfId="0" applyFont="1" applyFill="1" applyBorder="1" applyAlignment="1">
      <alignment horizontal="left" vertical="center" wrapText="1"/>
    </xf>
    <xf numFmtId="0" fontId="4" fillId="5" borderId="3" xfId="0" applyFont="1" applyFill="1" applyBorder="1" applyAlignment="1">
      <alignment horizontal="left" vertical="center" wrapText="1"/>
    </xf>
    <xf numFmtId="0" fontId="6" fillId="5" borderId="3" xfId="0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left" vertical="center" wrapText="1"/>
    </xf>
    <xf numFmtId="0" fontId="3" fillId="6" borderId="3" xfId="0" applyFont="1" applyFill="1" applyBorder="1" applyAlignment="1">
      <alignment horizontal="left" vertical="center" wrapText="1"/>
    </xf>
    <xf numFmtId="0" fontId="4" fillId="6" borderId="3" xfId="0" applyFont="1" applyFill="1" applyBorder="1" applyAlignment="1">
      <alignment horizontal="left" vertical="center" wrapText="1"/>
    </xf>
    <xf numFmtId="0" fontId="6" fillId="6" borderId="3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10" borderId="1" xfId="0" applyFont="1" applyFill="1" applyBorder="1" applyAlignment="1">
      <alignment horizontal="left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vertical="center" wrapText="1"/>
    </xf>
    <xf numFmtId="3" fontId="5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3" fontId="4" fillId="5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3" fontId="4" fillId="4" borderId="3" xfId="0" applyNumberFormat="1" applyFont="1" applyFill="1" applyBorder="1" applyAlignment="1">
      <alignment horizontal="center" vertical="center"/>
    </xf>
    <xf numFmtId="4" fontId="4" fillId="6" borderId="3" xfId="0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3" fontId="4" fillId="6" borderId="3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4" fillId="6" borderId="4" xfId="0" applyFont="1" applyFill="1" applyBorder="1" applyAlignment="1">
      <alignment vertical="center" wrapText="1"/>
    </xf>
    <xf numFmtId="0" fontId="0" fillId="6" borderId="4" xfId="0" applyFill="1" applyBorder="1" applyAlignment="1"/>
    <xf numFmtId="0" fontId="4" fillId="6" borderId="3" xfId="0" applyFont="1" applyFill="1" applyBorder="1" applyAlignment="1">
      <alignment vertical="center" wrapText="1"/>
    </xf>
    <xf numFmtId="0" fontId="0" fillId="6" borderId="3" xfId="0" applyFill="1" applyBorder="1" applyAlignment="1"/>
    <xf numFmtId="4" fontId="9" fillId="0" borderId="1" xfId="0" applyNumberFormat="1" applyFont="1" applyBorder="1" applyAlignment="1">
      <alignment horizontal="center" vertical="center"/>
    </xf>
    <xf numFmtId="4" fontId="5" fillId="0" borderId="1" xfId="0" applyNumberFormat="1" applyFont="1" applyBorder="1" applyAlignment="1">
      <alignment horizontal="center" vertical="center"/>
    </xf>
    <xf numFmtId="4" fontId="4" fillId="6" borderId="4" xfId="0" applyNumberFormat="1" applyFont="1" applyFill="1" applyBorder="1" applyAlignment="1">
      <alignment horizontal="center" vertical="center"/>
    </xf>
    <xf numFmtId="0" fontId="0" fillId="6" borderId="4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9" fillId="8" borderId="1" xfId="0" applyFont="1" applyFill="1" applyBorder="1" applyAlignment="1">
      <alignment horizontal="center" vertical="center"/>
    </xf>
    <xf numFmtId="164" fontId="3" fillId="9" borderId="1" xfId="0" applyNumberFormat="1" applyFont="1" applyFill="1" applyBorder="1" applyAlignment="1">
      <alignment horizontal="center" vertical="center"/>
    </xf>
    <xf numFmtId="3" fontId="3" fillId="9" borderId="1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165" fontId="3" fillId="0" borderId="1" xfId="0" applyNumberFormat="1" applyFont="1" applyBorder="1" applyAlignment="1">
      <alignment horizontal="center" vertical="center"/>
    </xf>
    <xf numFmtId="165" fontId="4" fillId="6" borderId="3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5" fontId="11" fillId="4" borderId="3" xfId="0" applyNumberFormat="1" applyFont="1" applyFill="1" applyBorder="1" applyAlignment="1">
      <alignment horizontal="center" vertical="center"/>
    </xf>
    <xf numFmtId="165" fontId="11" fillId="6" borderId="3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6DCE4"/>
      <rgbColor rgb="FF808080"/>
      <rgbColor rgb="FF9999FF"/>
      <rgbColor rgb="FF993366"/>
      <rgbColor rgb="FFF2F5FA"/>
      <rgbColor rgb="FFEBF5FF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6"/>
      <rgbColor rgb="FFD9E1E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79"/>
      <rgbColor rgb="FF339966"/>
      <rgbColor rgb="FF003300"/>
      <rgbColor rgb="FF444444"/>
      <rgbColor rgb="FF993300"/>
      <rgbColor rgb="FF993366"/>
      <rgbColor rgb="FF2E4A7A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D65"/>
  <sheetViews>
    <sheetView tabSelected="1" zoomScaleNormal="100" workbookViewId="0">
      <pane ySplit="1" topLeftCell="A2" activePane="bottomLeft" state="frozen"/>
      <selection pane="bottomLeft" activeCell="D3" sqref="D3"/>
    </sheetView>
  </sheetViews>
  <sheetFormatPr defaultColWidth="8.7109375" defaultRowHeight="15" x14ac:dyDescent="0.25"/>
  <cols>
    <col min="1" max="1" width="5" style="37" customWidth="1"/>
    <col min="2" max="2" width="48" style="37" customWidth="1"/>
    <col min="3" max="3" width="13.85546875" style="38" bestFit="1" customWidth="1"/>
    <col min="4" max="4" width="105.85546875" style="37" bestFit="1" customWidth="1"/>
    <col min="5" max="16384" width="8.7109375" style="37"/>
  </cols>
  <sheetData>
    <row r="1" spans="1:4" ht="15.75" x14ac:dyDescent="0.25">
      <c r="A1" s="3" t="s">
        <v>0</v>
      </c>
      <c r="B1" s="3"/>
      <c r="C1" s="3"/>
      <c r="D1" s="3"/>
    </row>
    <row r="2" spans="1:4" x14ac:dyDescent="0.25">
      <c r="A2" s="2" t="s">
        <v>501</v>
      </c>
      <c r="B2" s="2"/>
      <c r="C2" s="2"/>
      <c r="D2" s="2"/>
    </row>
    <row r="3" spans="1:4" x14ac:dyDescent="0.25">
      <c r="A3" s="5"/>
      <c r="B3" s="6" t="s">
        <v>1</v>
      </c>
      <c r="C3" s="6" t="s">
        <v>2</v>
      </c>
      <c r="D3" s="6" t="s">
        <v>3</v>
      </c>
    </row>
    <row r="4" spans="1:4" x14ac:dyDescent="0.25">
      <c r="A4" s="7" t="s">
        <v>4</v>
      </c>
      <c r="B4" s="8" t="s">
        <v>5</v>
      </c>
      <c r="C4" s="28">
        <f>SCOPE_DETAIL!G100</f>
        <v>2548659</v>
      </c>
      <c r="D4" s="9" t="s">
        <v>502</v>
      </c>
    </row>
    <row r="5" spans="1:4" x14ac:dyDescent="0.25">
      <c r="A5" s="7" t="s">
        <v>6</v>
      </c>
      <c r="B5" s="8" t="s">
        <v>7</v>
      </c>
      <c r="C5" s="29">
        <f>C4*PARAMETERS!B18</f>
        <v>4715019.1500000004</v>
      </c>
      <c r="D5" s="9" t="s">
        <v>8</v>
      </c>
    </row>
    <row r="6" spans="1:4" x14ac:dyDescent="0.25">
      <c r="A6" s="7" t="s">
        <v>9</v>
      </c>
      <c r="B6" s="8" t="s">
        <v>10</v>
      </c>
      <c r="C6" s="29">
        <f>C5*PARAMETERS!B21</f>
        <v>5018346.9925777968</v>
      </c>
      <c r="D6" s="9" t="s">
        <v>11</v>
      </c>
    </row>
    <row r="7" spans="1:4" x14ac:dyDescent="0.25">
      <c r="A7" s="7" t="s">
        <v>12</v>
      </c>
      <c r="B7" s="8" t="s">
        <v>13</v>
      </c>
      <c r="C7" s="29">
        <f>C6*(1+PARAMETERS!B22)</f>
        <v>5520181.6918355767</v>
      </c>
      <c r="D7" s="9" t="s">
        <v>14</v>
      </c>
    </row>
    <row r="8" spans="1:4" x14ac:dyDescent="0.25">
      <c r="A8" s="10" t="s">
        <v>15</v>
      </c>
      <c r="B8" s="11" t="s">
        <v>16</v>
      </c>
      <c r="C8" s="30">
        <f>ROUND(C7*(1+PARAMETERS!B23),0)</f>
        <v>6072200</v>
      </c>
      <c r="D8" s="12" t="s">
        <v>503</v>
      </c>
    </row>
    <row r="9" spans="1:4" x14ac:dyDescent="0.25">
      <c r="A9" s="7" t="s">
        <v>17</v>
      </c>
      <c r="B9" s="8" t="s">
        <v>18</v>
      </c>
      <c r="C9" s="28">
        <f>PARAMETERS!B54</f>
        <v>2413084</v>
      </c>
      <c r="D9" s="9" t="s">
        <v>19</v>
      </c>
    </row>
    <row r="10" spans="1:4" x14ac:dyDescent="0.25">
      <c r="A10" s="13"/>
      <c r="B10" s="14" t="s">
        <v>20</v>
      </c>
      <c r="C10" s="31">
        <f>C8+C9</f>
        <v>8485284</v>
      </c>
      <c r="D10" s="15" t="s">
        <v>21</v>
      </c>
    </row>
    <row r="12" spans="1:4" x14ac:dyDescent="0.25">
      <c r="A12" s="2" t="s">
        <v>22</v>
      </c>
      <c r="B12" s="2"/>
      <c r="C12" s="2"/>
      <c r="D12" s="2"/>
    </row>
    <row r="13" spans="1:4" x14ac:dyDescent="0.25">
      <c r="A13" s="5"/>
      <c r="B13" s="6" t="s">
        <v>1</v>
      </c>
      <c r="C13" s="6" t="s">
        <v>2</v>
      </c>
      <c r="D13" s="6" t="s">
        <v>3</v>
      </c>
    </row>
    <row r="14" spans="1:4" x14ac:dyDescent="0.25">
      <c r="A14" s="8"/>
      <c r="B14" s="8" t="s">
        <v>23</v>
      </c>
      <c r="C14" s="29">
        <f>C10*PARAMETERS!B25</f>
        <v>509117.04</v>
      </c>
      <c r="D14" s="9" t="s">
        <v>24</v>
      </c>
    </row>
    <row r="15" spans="1:4" x14ac:dyDescent="0.25">
      <c r="A15" s="8"/>
      <c r="B15" s="8" t="s">
        <v>504</v>
      </c>
      <c r="C15" s="29">
        <f>C10*PARAMETERS!B26</f>
        <v>678822.72</v>
      </c>
      <c r="D15" s="9" t="s">
        <v>25</v>
      </c>
    </row>
    <row r="16" spans="1:4" x14ac:dyDescent="0.25">
      <c r="A16" s="8"/>
      <c r="B16" s="8" t="s">
        <v>26</v>
      </c>
      <c r="C16" s="29">
        <f>C10*PARAMETERS!B27</f>
        <v>339411.36</v>
      </c>
      <c r="D16" s="9" t="s">
        <v>27</v>
      </c>
    </row>
    <row r="18" spans="1:4" x14ac:dyDescent="0.25">
      <c r="A18" s="16"/>
      <c r="B18" s="17" t="s">
        <v>28</v>
      </c>
      <c r="C18" s="33">
        <f>ROUND(C10+C14+C15+C16,0)</f>
        <v>10012635</v>
      </c>
      <c r="D18" s="18" t="s">
        <v>29</v>
      </c>
    </row>
    <row r="19" spans="1:4" x14ac:dyDescent="0.25">
      <c r="A19" s="8"/>
      <c r="B19" s="8" t="s">
        <v>499</v>
      </c>
      <c r="C19" s="29">
        <f>C18*PARAMETERS!B28</f>
        <v>400505.4</v>
      </c>
      <c r="D19" s="9" t="s">
        <v>30</v>
      </c>
    </row>
    <row r="20" spans="1:4" x14ac:dyDescent="0.25">
      <c r="A20" s="19"/>
      <c r="B20" s="20" t="s">
        <v>31</v>
      </c>
      <c r="C20" s="34">
        <f>C18+C19</f>
        <v>10413140.4</v>
      </c>
      <c r="D20" s="21" t="s">
        <v>32</v>
      </c>
    </row>
    <row r="22" spans="1:4" x14ac:dyDescent="0.25">
      <c r="A22" s="2" t="s">
        <v>33</v>
      </c>
      <c r="B22" s="2"/>
      <c r="C22" s="2"/>
      <c r="D22" s="2"/>
    </row>
    <row r="23" spans="1:4" x14ac:dyDescent="0.25">
      <c r="A23" s="5"/>
      <c r="B23" s="6" t="s">
        <v>34</v>
      </c>
      <c r="C23" s="6" t="s">
        <v>2</v>
      </c>
      <c r="D23" s="6" t="s">
        <v>35</v>
      </c>
    </row>
    <row r="24" spans="1:4" x14ac:dyDescent="0.25">
      <c r="A24" s="8"/>
      <c r="B24" s="8" t="s">
        <v>36</v>
      </c>
      <c r="C24" s="29">
        <f>C18/PARAMETERS!B33</f>
        <v>117.98865203096828</v>
      </c>
      <c r="D24" s="9" t="s">
        <v>37</v>
      </c>
    </row>
    <row r="25" spans="1:4" x14ac:dyDescent="0.25">
      <c r="A25" s="8"/>
      <c r="B25" s="8" t="s">
        <v>38</v>
      </c>
      <c r="C25" s="29">
        <f>C18/PARAMETERS!B29</f>
        <v>378.00645575354878</v>
      </c>
      <c r="D25" s="9" t="s">
        <v>39</v>
      </c>
    </row>
    <row r="27" spans="1:4" x14ac:dyDescent="0.25">
      <c r="A27" s="2" t="s">
        <v>505</v>
      </c>
      <c r="B27" s="2"/>
      <c r="C27" s="2"/>
      <c r="D27" s="2"/>
    </row>
    <row r="28" spans="1:4" x14ac:dyDescent="0.25">
      <c r="A28" s="6" t="s">
        <v>40</v>
      </c>
      <c r="B28" s="6" t="s">
        <v>41</v>
      </c>
      <c r="C28" s="6" t="s">
        <v>42</v>
      </c>
      <c r="D28" s="6" t="s">
        <v>43</v>
      </c>
    </row>
    <row r="29" spans="1:4" x14ac:dyDescent="0.25">
      <c r="A29" s="7" t="s">
        <v>44</v>
      </c>
      <c r="B29" s="8" t="s">
        <v>45</v>
      </c>
      <c r="C29" s="35">
        <f>SUMIF(SCOPE_DETAIL!$I$5:$I$99,"B20",SCOPE_DETAIL!$G$5:$G$99)</f>
        <v>123500</v>
      </c>
      <c r="D29" s="9" t="s">
        <v>46</v>
      </c>
    </row>
    <row r="30" spans="1:4" x14ac:dyDescent="0.25">
      <c r="A30" s="7" t="s">
        <v>47</v>
      </c>
      <c r="B30" s="8" t="s">
        <v>48</v>
      </c>
      <c r="C30" s="35">
        <f>SUMIF(SCOPE_DETAIL!$I$5:$I$99,"C10",SCOPE_DETAIL!$G$5:$G$99)</f>
        <v>184997</v>
      </c>
      <c r="D30" s="9" t="s">
        <v>49</v>
      </c>
    </row>
    <row r="31" spans="1:4" x14ac:dyDescent="0.25">
      <c r="A31" s="7" t="s">
        <v>50</v>
      </c>
      <c r="B31" s="8" t="s">
        <v>51</v>
      </c>
      <c r="C31" s="35">
        <f>SUMIF(SCOPE_DETAIL!$I$5:$I$99,"C30",SCOPE_DETAIL!$G$5:$G$99)</f>
        <v>87743</v>
      </c>
      <c r="D31" s="9" t="s">
        <v>52</v>
      </c>
    </row>
    <row r="32" spans="1:4" x14ac:dyDescent="0.25">
      <c r="A32" s="7" t="s">
        <v>53</v>
      </c>
      <c r="B32" s="8" t="s">
        <v>54</v>
      </c>
      <c r="C32" s="35">
        <f>SUMIF(SCOPE_DETAIL!$I$5:$I$99,"D20",SCOPE_DETAIL!$G$5:$G$99)</f>
        <v>90000</v>
      </c>
      <c r="D32" s="9" t="s">
        <v>55</v>
      </c>
    </row>
    <row r="33" spans="1:4" x14ac:dyDescent="0.25">
      <c r="A33" s="7" t="s">
        <v>56</v>
      </c>
      <c r="B33" s="8" t="s">
        <v>57</v>
      </c>
      <c r="C33" s="35">
        <f>SUMIF(SCOPE_DETAIL!$I$5:$I$99,"D30",SCOPE_DETAIL!$G$5:$G$99)</f>
        <v>773000</v>
      </c>
      <c r="D33" s="9" t="s">
        <v>58</v>
      </c>
    </row>
    <row r="34" spans="1:4" x14ac:dyDescent="0.25">
      <c r="A34" s="7" t="s">
        <v>59</v>
      </c>
      <c r="B34" s="8" t="s">
        <v>60</v>
      </c>
      <c r="C34" s="35">
        <f>SUMIF(SCOPE_DETAIL!$I$5:$I$99,"D40",SCOPE_DETAIL!$G$5:$G$99)</f>
        <v>10000</v>
      </c>
      <c r="D34" s="9" t="s">
        <v>61</v>
      </c>
    </row>
    <row r="35" spans="1:4" x14ac:dyDescent="0.25">
      <c r="A35" s="7" t="s">
        <v>62</v>
      </c>
      <c r="B35" s="8" t="s">
        <v>63</v>
      </c>
      <c r="C35" s="35">
        <f>SUMIF(SCOPE_DETAIL!$I$5:$I$99,"D50",SCOPE_DETAIL!$G$5:$G$99)</f>
        <v>831600</v>
      </c>
      <c r="D35" s="9" t="s">
        <v>64</v>
      </c>
    </row>
    <row r="36" spans="1:4" x14ac:dyDescent="0.25">
      <c r="A36" s="7" t="s">
        <v>65</v>
      </c>
      <c r="B36" s="8" t="s">
        <v>66</v>
      </c>
      <c r="C36" s="35">
        <f>SUMIF(SCOPE_DETAIL!$I$5:$I$99,"E20",SCOPE_DETAIL!$G$5:$G$99)</f>
        <v>6600</v>
      </c>
      <c r="D36" s="9" t="s">
        <v>67</v>
      </c>
    </row>
    <row r="37" spans="1:4" x14ac:dyDescent="0.25">
      <c r="A37" s="7" t="s">
        <v>68</v>
      </c>
      <c r="B37" s="8" t="s">
        <v>69</v>
      </c>
      <c r="C37" s="35">
        <f>SUMIF(SCOPE_DETAIL!$I$5:$I$99,"F20",SCOPE_DETAIL!$G$5:$G$99)</f>
        <v>199499</v>
      </c>
      <c r="D37" s="9" t="s">
        <v>70</v>
      </c>
    </row>
    <row r="38" spans="1:4" x14ac:dyDescent="0.25">
      <c r="A38" s="7" t="s">
        <v>71</v>
      </c>
      <c r="B38" s="8" t="s">
        <v>72</v>
      </c>
      <c r="C38" s="35">
        <f>SUMIF(SCOPE_DETAIL!$I$5:$I$99,"G10",SCOPE_DETAIL!$G$5:$G$99)</f>
        <v>9000</v>
      </c>
      <c r="D38" s="9" t="s">
        <v>73</v>
      </c>
    </row>
    <row r="39" spans="1:4" x14ac:dyDescent="0.25">
      <c r="A39" s="7" t="s">
        <v>74</v>
      </c>
      <c r="B39" s="8" t="s">
        <v>75</v>
      </c>
      <c r="C39" s="35">
        <f>SUMIF(SCOPE_DETAIL!$I$5:$I$99,"G20",SCOPE_DETAIL!$G$5:$G$99)</f>
        <v>232720</v>
      </c>
      <c r="D39" s="9" t="s">
        <v>76</v>
      </c>
    </row>
    <row r="40" spans="1:4" x14ac:dyDescent="0.25">
      <c r="A40" s="19"/>
      <c r="B40" s="20" t="s">
        <v>77</v>
      </c>
      <c r="C40" s="36">
        <f>SUM(C29:C39)</f>
        <v>2548659</v>
      </c>
      <c r="D40" s="21" t="s">
        <v>506</v>
      </c>
    </row>
    <row r="42" spans="1:4" x14ac:dyDescent="0.25">
      <c r="A42" s="2" t="s">
        <v>78</v>
      </c>
      <c r="B42" s="2"/>
      <c r="C42" s="2"/>
      <c r="D42" s="2"/>
    </row>
    <row r="43" spans="1:4" x14ac:dyDescent="0.25">
      <c r="A43" s="5"/>
      <c r="B43" s="6" t="s">
        <v>79</v>
      </c>
      <c r="C43" s="6" t="s">
        <v>80</v>
      </c>
      <c r="D43" s="6" t="s">
        <v>81</v>
      </c>
    </row>
    <row r="44" spans="1:4" x14ac:dyDescent="0.25">
      <c r="A44" s="8"/>
      <c r="B44" s="8" t="s">
        <v>507</v>
      </c>
      <c r="C44" s="35">
        <v>898500</v>
      </c>
      <c r="D44" s="9" t="s">
        <v>82</v>
      </c>
    </row>
    <row r="45" spans="1:4" x14ac:dyDescent="0.25">
      <c r="A45" s="8"/>
      <c r="B45" s="8" t="s">
        <v>508</v>
      </c>
      <c r="C45" s="35">
        <v>10325000</v>
      </c>
      <c r="D45" s="9" t="s">
        <v>83</v>
      </c>
    </row>
    <row r="46" spans="1:4" x14ac:dyDescent="0.25">
      <c r="A46" s="8"/>
      <c r="B46" s="8" t="s">
        <v>84</v>
      </c>
      <c r="C46" s="35">
        <v>9368055</v>
      </c>
      <c r="D46" s="9" t="s">
        <v>85</v>
      </c>
    </row>
    <row r="47" spans="1:4" ht="25.5" x14ac:dyDescent="0.25">
      <c r="A47" s="8"/>
      <c r="B47" s="8" t="s">
        <v>86</v>
      </c>
      <c r="C47" s="35">
        <v>10012635</v>
      </c>
      <c r="D47" s="67" t="s">
        <v>513</v>
      </c>
    </row>
    <row r="48" spans="1:4" ht="25.5" x14ac:dyDescent="0.25">
      <c r="A48" s="8"/>
      <c r="B48" s="8" t="s">
        <v>87</v>
      </c>
      <c r="C48" s="35">
        <v>10012635</v>
      </c>
      <c r="D48" s="9" t="s">
        <v>88</v>
      </c>
    </row>
    <row r="49" spans="1:4" ht="25.5" x14ac:dyDescent="0.25">
      <c r="A49" s="8"/>
      <c r="B49" s="8" t="s">
        <v>509</v>
      </c>
      <c r="C49" s="28">
        <f>C18</f>
        <v>10012635</v>
      </c>
      <c r="D49" s="67" t="s">
        <v>511</v>
      </c>
    </row>
    <row r="50" spans="1:4" x14ac:dyDescent="0.25">
      <c r="A50" s="8"/>
      <c r="B50" s="8" t="s">
        <v>89</v>
      </c>
      <c r="C50" s="35">
        <f>C49-C48</f>
        <v>0</v>
      </c>
      <c r="D50" s="67" t="s">
        <v>512</v>
      </c>
    </row>
    <row r="52" spans="1:4" x14ac:dyDescent="0.25">
      <c r="A52" s="2" t="s">
        <v>90</v>
      </c>
      <c r="B52" s="2"/>
      <c r="C52" s="2"/>
      <c r="D52" s="2"/>
    </row>
    <row r="53" spans="1:4" ht="33.75" customHeight="1" x14ac:dyDescent="0.25">
      <c r="A53" s="8"/>
      <c r="B53" s="22" t="s">
        <v>91</v>
      </c>
      <c r="C53" s="1" t="s">
        <v>92</v>
      </c>
      <c r="D53" s="1"/>
    </row>
    <row r="54" spans="1:4" ht="25.5" customHeight="1" x14ac:dyDescent="0.25">
      <c r="A54" s="8"/>
      <c r="B54" s="22" t="s">
        <v>93</v>
      </c>
      <c r="C54" s="1" t="s">
        <v>94</v>
      </c>
      <c r="D54" s="1"/>
    </row>
    <row r="55" spans="1:4" x14ac:dyDescent="0.25">
      <c r="A55" s="8"/>
      <c r="B55" s="22" t="s">
        <v>95</v>
      </c>
      <c r="C55" s="1" t="s">
        <v>480</v>
      </c>
      <c r="D55" s="1"/>
    </row>
    <row r="56" spans="1:4" x14ac:dyDescent="0.25">
      <c r="A56" s="8"/>
      <c r="B56" s="22" t="s">
        <v>96</v>
      </c>
      <c r="C56" s="1" t="s">
        <v>97</v>
      </c>
      <c r="D56" s="1"/>
    </row>
    <row r="57" spans="1:4" x14ac:dyDescent="0.25">
      <c r="A57" s="8"/>
      <c r="B57" s="22" t="s">
        <v>98</v>
      </c>
      <c r="C57" s="1" t="s">
        <v>99</v>
      </c>
      <c r="D57" s="1"/>
    </row>
    <row r="58" spans="1:4" x14ac:dyDescent="0.25">
      <c r="A58" s="8"/>
      <c r="B58" s="22" t="s">
        <v>100</v>
      </c>
      <c r="C58" s="1" t="s">
        <v>101</v>
      </c>
      <c r="D58" s="1"/>
    </row>
    <row r="59" spans="1:4" ht="37.5" customHeight="1" x14ac:dyDescent="0.25">
      <c r="A59" s="8"/>
      <c r="B59" s="22" t="s">
        <v>102</v>
      </c>
      <c r="C59" s="1" t="s">
        <v>103</v>
      </c>
      <c r="D59" s="1"/>
    </row>
    <row r="60" spans="1:4" ht="30.75" customHeight="1" x14ac:dyDescent="0.25">
      <c r="A60" s="8"/>
      <c r="B60" s="22" t="s">
        <v>104</v>
      </c>
      <c r="C60" s="1" t="s">
        <v>105</v>
      </c>
      <c r="D60" s="1"/>
    </row>
    <row r="61" spans="1:4" ht="90" customHeight="1" x14ac:dyDescent="0.25">
      <c r="A61" s="8"/>
      <c r="B61" s="22" t="s">
        <v>106</v>
      </c>
      <c r="C61" s="1" t="s">
        <v>107</v>
      </c>
      <c r="D61" s="1"/>
    </row>
    <row r="62" spans="1:4" x14ac:dyDescent="0.25">
      <c r="A62" s="8"/>
      <c r="B62" s="22" t="s">
        <v>108</v>
      </c>
      <c r="C62" s="1" t="s">
        <v>109</v>
      </c>
      <c r="D62" s="1"/>
    </row>
    <row r="63" spans="1:4" ht="72" customHeight="1" x14ac:dyDescent="0.25">
      <c r="A63" s="8"/>
      <c r="B63" s="22" t="s">
        <v>110</v>
      </c>
      <c r="C63" s="66" t="s">
        <v>510</v>
      </c>
      <c r="D63" s="1"/>
    </row>
    <row r="64" spans="1:4" x14ac:dyDescent="0.25">
      <c r="A64" s="8"/>
      <c r="B64" s="22" t="s">
        <v>111</v>
      </c>
      <c r="C64" s="1" t="s">
        <v>481</v>
      </c>
      <c r="D64" s="1"/>
    </row>
    <row r="65" spans="1:4" ht="27.75" customHeight="1" x14ac:dyDescent="0.25">
      <c r="A65" s="8"/>
      <c r="B65" s="22" t="s">
        <v>112</v>
      </c>
      <c r="C65" s="1" t="s">
        <v>482</v>
      </c>
      <c r="D65" s="1"/>
    </row>
  </sheetData>
  <mergeCells count="20">
    <mergeCell ref="C61:D61"/>
    <mergeCell ref="C62:D62"/>
    <mergeCell ref="C63:D63"/>
    <mergeCell ref="C64:D64"/>
    <mergeCell ref="C65:D65"/>
    <mergeCell ref="C56:D56"/>
    <mergeCell ref="C57:D57"/>
    <mergeCell ref="C58:D58"/>
    <mergeCell ref="C59:D59"/>
    <mergeCell ref="C60:D60"/>
    <mergeCell ref="A42:D42"/>
    <mergeCell ref="A52:D52"/>
    <mergeCell ref="C53:D53"/>
    <mergeCell ref="C54:D54"/>
    <mergeCell ref="C55:D55"/>
    <mergeCell ref="A1:D1"/>
    <mergeCell ref="A2:D2"/>
    <mergeCell ref="A12:D12"/>
    <mergeCell ref="A22:D22"/>
    <mergeCell ref="A27:D27"/>
  </mergeCells>
  <pageMargins left="0.75" right="0.75" top="1" bottom="1" header="0.511811023622047" footer="0.511811023622047"/>
  <pageSetup paperSize="9" orientation="portrait" horizontalDpi="300" verticalDpi="300" r:id="rId1"/>
  <headerFooter>
    <oddFooter>&amp;L_x000D_&amp;1#&amp;"Calibri"&amp;10&amp;K000000 DISTRIBUTION: DoW COMMUNITY ONLY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4A7A"/>
  </sheetPr>
  <dimension ref="A1:J100"/>
  <sheetViews>
    <sheetView topLeftCell="A84" zoomScaleNormal="100" workbookViewId="0">
      <selection activeCell="J98" sqref="J98"/>
    </sheetView>
  </sheetViews>
  <sheetFormatPr defaultColWidth="8.7109375" defaultRowHeight="15" x14ac:dyDescent="0.25"/>
  <cols>
    <col min="1" max="1" width="6" style="4" customWidth="1"/>
    <col min="2" max="2" width="10" style="32" customWidth="1"/>
    <col min="3" max="3" width="52" style="4" customWidth="1"/>
    <col min="4" max="4" width="7" style="32" customWidth="1"/>
    <col min="5" max="5" width="5" style="32" customWidth="1"/>
    <col min="6" max="6" width="13" style="32" customWidth="1"/>
    <col min="7" max="8" width="14" style="32" customWidth="1"/>
    <col min="9" max="9" width="11" style="32" customWidth="1"/>
    <col min="10" max="10" width="48" style="4" customWidth="1"/>
    <col min="11" max="16384" width="8.7109375" style="4"/>
  </cols>
  <sheetData>
    <row r="1" spans="1:10" ht="19.5" customHeight="1" x14ac:dyDescent="0.25">
      <c r="A1" s="40" t="s">
        <v>113</v>
      </c>
      <c r="B1" s="40"/>
      <c r="C1" s="40"/>
      <c r="D1" s="40"/>
      <c r="E1" s="40"/>
      <c r="F1" s="40"/>
      <c r="G1" s="40"/>
      <c r="H1" s="40"/>
      <c r="I1" s="40"/>
      <c r="J1" s="40"/>
    </row>
    <row r="2" spans="1:10" ht="13.5" customHeight="1" x14ac:dyDescent="0.25">
      <c r="A2" s="41" t="s">
        <v>114</v>
      </c>
      <c r="B2" s="41"/>
      <c r="C2" s="41"/>
      <c r="D2" s="41"/>
      <c r="E2" s="41"/>
      <c r="F2" s="41"/>
      <c r="G2" s="41"/>
      <c r="H2" s="41"/>
      <c r="I2" s="41"/>
      <c r="J2" s="41"/>
    </row>
    <row r="3" spans="1:10" ht="23.25" customHeight="1" x14ac:dyDescent="0.25">
      <c r="A3" s="27" t="s">
        <v>34</v>
      </c>
      <c r="B3" s="6" t="s">
        <v>115</v>
      </c>
      <c r="C3" s="27" t="s">
        <v>116</v>
      </c>
      <c r="D3" s="6" t="s">
        <v>117</v>
      </c>
      <c r="E3" s="6" t="s">
        <v>118</v>
      </c>
      <c r="F3" s="6" t="s">
        <v>119</v>
      </c>
      <c r="G3" s="6" t="s">
        <v>120</v>
      </c>
      <c r="H3" s="6" t="s">
        <v>121</v>
      </c>
      <c r="I3" s="6" t="s">
        <v>122</v>
      </c>
      <c r="J3" s="27" t="s">
        <v>123</v>
      </c>
    </row>
    <row r="4" spans="1:10" ht="15.75" customHeight="1" x14ac:dyDescent="0.25">
      <c r="A4" s="42" t="s">
        <v>124</v>
      </c>
      <c r="B4" s="42"/>
      <c r="C4" s="42"/>
      <c r="D4" s="42"/>
      <c r="E4" s="42"/>
      <c r="F4" s="42"/>
      <c r="G4" s="42"/>
      <c r="H4" s="42"/>
      <c r="I4" s="42"/>
      <c r="J4" s="42"/>
    </row>
    <row r="5" spans="1:10" ht="45" x14ac:dyDescent="0.25">
      <c r="A5" s="43">
        <v>4</v>
      </c>
      <c r="B5" s="7" t="s">
        <v>125</v>
      </c>
      <c r="C5" s="43" t="s">
        <v>126</v>
      </c>
      <c r="D5" s="39">
        <v>4</v>
      </c>
      <c r="E5" s="7" t="s">
        <v>127</v>
      </c>
      <c r="F5" s="49">
        <v>14599.4</v>
      </c>
      <c r="G5" s="29">
        <f t="shared" ref="G5:G19" si="0">D5*F5</f>
        <v>58397.599999999999</v>
      </c>
      <c r="H5" s="50">
        <f>G5*PARAMETERS!$B$57</f>
        <v>91684.232000000004</v>
      </c>
      <c r="I5" s="7" t="s">
        <v>47</v>
      </c>
      <c r="J5" s="44" t="s">
        <v>128</v>
      </c>
    </row>
    <row r="6" spans="1:10" ht="25.5" x14ac:dyDescent="0.25">
      <c r="A6" s="43">
        <v>8</v>
      </c>
      <c r="B6" s="7" t="s">
        <v>125</v>
      </c>
      <c r="C6" s="43" t="s">
        <v>129</v>
      </c>
      <c r="D6" s="39">
        <v>4</v>
      </c>
      <c r="E6" s="7" t="s">
        <v>127</v>
      </c>
      <c r="F6" s="49">
        <v>15000</v>
      </c>
      <c r="G6" s="29">
        <f t="shared" si="0"/>
        <v>60000</v>
      </c>
      <c r="H6" s="50">
        <f>G6*PARAMETERS!$B$57</f>
        <v>94200</v>
      </c>
      <c r="I6" s="7" t="s">
        <v>47</v>
      </c>
      <c r="J6" s="44" t="s">
        <v>130</v>
      </c>
    </row>
    <row r="7" spans="1:10" ht="25.5" x14ac:dyDescent="0.25">
      <c r="A7" s="43">
        <v>5</v>
      </c>
      <c r="B7" s="7" t="s">
        <v>125</v>
      </c>
      <c r="C7" s="43" t="s">
        <v>131</v>
      </c>
      <c r="D7" s="39">
        <v>30</v>
      </c>
      <c r="E7" s="7" t="s">
        <v>127</v>
      </c>
      <c r="F7" s="49">
        <v>500</v>
      </c>
      <c r="G7" s="29">
        <f t="shared" si="0"/>
        <v>15000</v>
      </c>
      <c r="H7" s="50">
        <f>G7*PARAMETERS!$B$57</f>
        <v>23550</v>
      </c>
      <c r="I7" s="7" t="s">
        <v>68</v>
      </c>
      <c r="J7" s="44" t="s">
        <v>132</v>
      </c>
    </row>
    <row r="8" spans="1:10" ht="26.25" customHeight="1" x14ac:dyDescent="0.25">
      <c r="A8" s="43">
        <v>6</v>
      </c>
      <c r="B8" s="7" t="s">
        <v>125</v>
      </c>
      <c r="C8" s="43" t="s">
        <v>133</v>
      </c>
      <c r="D8" s="39">
        <v>17</v>
      </c>
      <c r="E8" s="7" t="s">
        <v>127</v>
      </c>
      <c r="F8" s="49">
        <v>5000</v>
      </c>
      <c r="G8" s="29">
        <f t="shared" si="0"/>
        <v>85000</v>
      </c>
      <c r="H8" s="50">
        <f>G8*PARAMETERS!$B$57</f>
        <v>133450</v>
      </c>
      <c r="I8" s="7" t="s">
        <v>44</v>
      </c>
      <c r="J8" s="44" t="s">
        <v>134</v>
      </c>
    </row>
    <row r="9" spans="1:10" ht="23.25" customHeight="1" x14ac:dyDescent="0.25">
      <c r="A9" s="43">
        <v>6</v>
      </c>
      <c r="B9" s="7" t="s">
        <v>125</v>
      </c>
      <c r="C9" s="43" t="s">
        <v>135</v>
      </c>
      <c r="D9" s="39">
        <v>11</v>
      </c>
      <c r="E9" s="7" t="s">
        <v>127</v>
      </c>
      <c r="F9" s="49">
        <v>3500</v>
      </c>
      <c r="G9" s="29">
        <f t="shared" si="0"/>
        <v>38500</v>
      </c>
      <c r="H9" s="50">
        <f>G9*PARAMETERS!$B$57</f>
        <v>60445</v>
      </c>
      <c r="I9" s="7" t="s">
        <v>44</v>
      </c>
      <c r="J9" s="44" t="s">
        <v>136</v>
      </c>
    </row>
    <row r="10" spans="1:10" ht="15" customHeight="1" x14ac:dyDescent="0.25">
      <c r="A10" s="43">
        <v>7</v>
      </c>
      <c r="B10" s="7" t="s">
        <v>125</v>
      </c>
      <c r="C10" s="43" t="s">
        <v>137</v>
      </c>
      <c r="D10" s="39">
        <v>6270</v>
      </c>
      <c r="E10" s="7" t="s">
        <v>138</v>
      </c>
      <c r="F10" s="49">
        <v>4</v>
      </c>
      <c r="G10" s="29">
        <f t="shared" si="0"/>
        <v>25080</v>
      </c>
      <c r="H10" s="50">
        <f>G10*PARAMETERS!$B$57</f>
        <v>39375.599999999999</v>
      </c>
      <c r="I10" s="7" t="s">
        <v>68</v>
      </c>
      <c r="J10" s="44" t="s">
        <v>139</v>
      </c>
    </row>
    <row r="11" spans="1:10" ht="15" customHeight="1" x14ac:dyDescent="0.25">
      <c r="A11" s="43">
        <v>7</v>
      </c>
      <c r="B11" s="7" t="s">
        <v>125</v>
      </c>
      <c r="C11" s="43" t="s">
        <v>140</v>
      </c>
      <c r="D11" s="39">
        <v>6270</v>
      </c>
      <c r="E11" s="7" t="s">
        <v>138</v>
      </c>
      <c r="F11" s="49">
        <v>4</v>
      </c>
      <c r="G11" s="29">
        <f t="shared" si="0"/>
        <v>25080</v>
      </c>
      <c r="H11" s="50">
        <f>G11*PARAMETERS!$B$57</f>
        <v>39375.599999999999</v>
      </c>
      <c r="I11" s="7" t="s">
        <v>50</v>
      </c>
      <c r="J11" s="44" t="s">
        <v>141</v>
      </c>
    </row>
    <row r="12" spans="1:10" ht="25.5" x14ac:dyDescent="0.25">
      <c r="A12" s="43">
        <v>11</v>
      </c>
      <c r="B12" s="7" t="s">
        <v>125</v>
      </c>
      <c r="C12" s="43" t="s">
        <v>142</v>
      </c>
      <c r="D12" s="39">
        <v>1650</v>
      </c>
      <c r="E12" s="7" t="s">
        <v>138</v>
      </c>
      <c r="F12" s="49">
        <v>10</v>
      </c>
      <c r="G12" s="29">
        <f t="shared" si="0"/>
        <v>16500</v>
      </c>
      <c r="H12" s="50">
        <f>G12*PARAMETERS!$B$57</f>
        <v>25905</v>
      </c>
      <c r="I12" s="7" t="s">
        <v>50</v>
      </c>
      <c r="J12" s="44" t="s">
        <v>143</v>
      </c>
    </row>
    <row r="13" spans="1:10" ht="15" customHeight="1" x14ac:dyDescent="0.25">
      <c r="A13" s="43">
        <v>5</v>
      </c>
      <c r="B13" s="7" t="s">
        <v>125</v>
      </c>
      <c r="C13" s="43" t="s">
        <v>144</v>
      </c>
      <c r="D13" s="39">
        <v>11</v>
      </c>
      <c r="E13" s="7" t="s">
        <v>127</v>
      </c>
      <c r="F13" s="49">
        <v>2500</v>
      </c>
      <c r="G13" s="29">
        <f t="shared" si="0"/>
        <v>27500</v>
      </c>
      <c r="H13" s="50">
        <f>G13*PARAMETERS!$B$57</f>
        <v>43175</v>
      </c>
      <c r="I13" s="7" t="s">
        <v>68</v>
      </c>
      <c r="J13" s="44" t="s">
        <v>145</v>
      </c>
    </row>
    <row r="14" spans="1:10" ht="15" customHeight="1" x14ac:dyDescent="0.25">
      <c r="A14" s="43">
        <v>12</v>
      </c>
      <c r="B14" s="7" t="s">
        <v>125</v>
      </c>
      <c r="C14" s="43" t="s">
        <v>146</v>
      </c>
      <c r="D14" s="39">
        <v>11</v>
      </c>
      <c r="E14" s="7" t="s">
        <v>127</v>
      </c>
      <c r="F14" s="49">
        <v>2000</v>
      </c>
      <c r="G14" s="29">
        <f t="shared" si="0"/>
        <v>22000</v>
      </c>
      <c r="H14" s="50">
        <f>G14*PARAMETERS!$B$57</f>
        <v>34540</v>
      </c>
      <c r="I14" s="7" t="s">
        <v>53</v>
      </c>
      <c r="J14" s="44" t="s">
        <v>147</v>
      </c>
    </row>
    <row r="15" spans="1:10" ht="15" customHeight="1" x14ac:dyDescent="0.25">
      <c r="A15" s="43">
        <v>13</v>
      </c>
      <c r="B15" s="7" t="s">
        <v>125</v>
      </c>
      <c r="C15" s="43" t="s">
        <v>148</v>
      </c>
      <c r="D15" s="39">
        <v>1</v>
      </c>
      <c r="E15" s="7" t="s">
        <v>149</v>
      </c>
      <c r="F15" s="49">
        <v>10000</v>
      </c>
      <c r="G15" s="29">
        <f t="shared" si="0"/>
        <v>10000</v>
      </c>
      <c r="H15" s="50">
        <f>G15*PARAMETERS!$B$57</f>
        <v>15700</v>
      </c>
      <c r="I15" s="7" t="s">
        <v>53</v>
      </c>
      <c r="J15" s="44" t="s">
        <v>150</v>
      </c>
    </row>
    <row r="16" spans="1:10" ht="25.5" x14ac:dyDescent="0.25">
      <c r="A16" s="43">
        <v>10</v>
      </c>
      <c r="B16" s="7" t="s">
        <v>125</v>
      </c>
      <c r="C16" s="43" t="s">
        <v>151</v>
      </c>
      <c r="D16" s="39">
        <v>28</v>
      </c>
      <c r="E16" s="7" t="s">
        <v>127</v>
      </c>
      <c r="F16" s="49">
        <v>2000</v>
      </c>
      <c r="G16" s="29">
        <f t="shared" si="0"/>
        <v>56000</v>
      </c>
      <c r="H16" s="50">
        <f>G16*PARAMETERS!$B$57</f>
        <v>87920</v>
      </c>
      <c r="I16" s="7" t="s">
        <v>56</v>
      </c>
      <c r="J16" s="44" t="s">
        <v>152</v>
      </c>
    </row>
    <row r="17" spans="1:10" ht="25.5" x14ac:dyDescent="0.25">
      <c r="A17" s="43">
        <v>9</v>
      </c>
      <c r="B17" s="7" t="s">
        <v>125</v>
      </c>
      <c r="C17" s="43" t="s">
        <v>153</v>
      </c>
      <c r="D17" s="39">
        <v>1</v>
      </c>
      <c r="E17" s="7" t="s">
        <v>149</v>
      </c>
      <c r="F17" s="49">
        <v>400000</v>
      </c>
      <c r="G17" s="29">
        <f t="shared" si="0"/>
        <v>400000</v>
      </c>
      <c r="H17" s="50">
        <f>G17*PARAMETERS!$B$57</f>
        <v>628000</v>
      </c>
      <c r="I17" s="7" t="s">
        <v>62</v>
      </c>
      <c r="J17" s="44" t="s">
        <v>154</v>
      </c>
    </row>
    <row r="18" spans="1:10" ht="25.5" x14ac:dyDescent="0.25">
      <c r="A18" s="43">
        <v>14</v>
      </c>
      <c r="B18" s="7" t="s">
        <v>125</v>
      </c>
      <c r="C18" s="43" t="s">
        <v>155</v>
      </c>
      <c r="D18" s="39">
        <v>28</v>
      </c>
      <c r="E18" s="7" t="s">
        <v>127</v>
      </c>
      <c r="F18" s="49">
        <v>1000</v>
      </c>
      <c r="G18" s="29">
        <f t="shared" si="0"/>
        <v>28000</v>
      </c>
      <c r="H18" s="50">
        <f>G18*PARAMETERS!$B$57</f>
        <v>43960</v>
      </c>
      <c r="I18" s="7" t="s">
        <v>62</v>
      </c>
      <c r="J18" s="44" t="s">
        <v>156</v>
      </c>
    </row>
    <row r="19" spans="1:10" x14ac:dyDescent="0.25">
      <c r="A19" s="43">
        <v>15</v>
      </c>
      <c r="B19" s="7" t="s">
        <v>125</v>
      </c>
      <c r="C19" s="43" t="s">
        <v>157</v>
      </c>
      <c r="D19" s="39">
        <v>11</v>
      </c>
      <c r="E19" s="7" t="s">
        <v>127</v>
      </c>
      <c r="F19" s="49">
        <v>600</v>
      </c>
      <c r="G19" s="29">
        <f t="shared" si="0"/>
        <v>6600</v>
      </c>
      <c r="H19" s="50">
        <f>G19*PARAMETERS!$B$57</f>
        <v>10362</v>
      </c>
      <c r="I19" s="7" t="s">
        <v>65</v>
      </c>
      <c r="J19" s="44" t="s">
        <v>158</v>
      </c>
    </row>
    <row r="20" spans="1:10" ht="15.75" customHeight="1" x14ac:dyDescent="0.25">
      <c r="A20" s="45" t="s">
        <v>159</v>
      </c>
      <c r="B20" s="45"/>
      <c r="C20" s="45"/>
      <c r="D20" s="45"/>
      <c r="E20" s="45"/>
      <c r="F20" s="45"/>
      <c r="G20" s="51">
        <f>SUM(G5:G19)</f>
        <v>873657.6</v>
      </c>
      <c r="H20" s="51">
        <f>SUM(H5:H19)</f>
        <v>1371642.432</v>
      </c>
      <c r="I20" s="52"/>
      <c r="J20" s="46"/>
    </row>
    <row r="21" spans="1:10" ht="15.75" customHeight="1" x14ac:dyDescent="0.25">
      <c r="A21" s="42" t="s">
        <v>160</v>
      </c>
      <c r="B21" s="42"/>
      <c r="C21" s="42"/>
      <c r="D21" s="42"/>
      <c r="E21" s="42"/>
      <c r="F21" s="42"/>
      <c r="G21" s="42"/>
      <c r="H21" s="42"/>
      <c r="I21" s="42"/>
      <c r="J21" s="42"/>
    </row>
    <row r="22" spans="1:10" ht="23.25" customHeight="1" x14ac:dyDescent="0.25">
      <c r="A22" s="43">
        <v>2</v>
      </c>
      <c r="B22" s="7" t="s">
        <v>161</v>
      </c>
      <c r="C22" s="43" t="s">
        <v>162</v>
      </c>
      <c r="D22" s="39">
        <v>200</v>
      </c>
      <c r="E22" s="7" t="s">
        <v>163</v>
      </c>
      <c r="F22" s="49">
        <v>200</v>
      </c>
      <c r="G22" s="29">
        <f>D22*F22</f>
        <v>40000</v>
      </c>
      <c r="H22" s="50">
        <f>G22*PARAMETERS!$B$57</f>
        <v>62800</v>
      </c>
      <c r="I22" s="7" t="s">
        <v>74</v>
      </c>
      <c r="J22" s="44" t="s">
        <v>164</v>
      </c>
    </row>
    <row r="23" spans="1:10" ht="22.5" customHeight="1" x14ac:dyDescent="0.25">
      <c r="A23" s="43">
        <v>3</v>
      </c>
      <c r="B23" s="7" t="s">
        <v>161</v>
      </c>
      <c r="C23" s="43" t="s">
        <v>165</v>
      </c>
      <c r="D23" s="39">
        <v>11</v>
      </c>
      <c r="E23" s="7" t="s">
        <v>127</v>
      </c>
      <c r="F23" s="49">
        <v>1400</v>
      </c>
      <c r="G23" s="29">
        <f>D23*F23</f>
        <v>15400</v>
      </c>
      <c r="H23" s="50">
        <f>G23*PARAMETERS!$B$57</f>
        <v>24178</v>
      </c>
      <c r="I23" s="7" t="s">
        <v>74</v>
      </c>
      <c r="J23" s="44" t="s">
        <v>166</v>
      </c>
    </row>
    <row r="24" spans="1:10" ht="23.25" customHeight="1" x14ac:dyDescent="0.25">
      <c r="A24" s="43">
        <v>16</v>
      </c>
      <c r="B24" s="7" t="s">
        <v>161</v>
      </c>
      <c r="C24" s="43" t="s">
        <v>167</v>
      </c>
      <c r="D24" s="39">
        <v>880</v>
      </c>
      <c r="E24" s="7" t="s">
        <v>138</v>
      </c>
      <c r="F24" s="49">
        <v>14</v>
      </c>
      <c r="G24" s="29">
        <f>D24*F24</f>
        <v>12320</v>
      </c>
      <c r="H24" s="50">
        <f>G24*PARAMETERS!$B$57</f>
        <v>19342.400000000001</v>
      </c>
      <c r="I24" s="7" t="s">
        <v>74</v>
      </c>
      <c r="J24" s="44" t="s">
        <v>168</v>
      </c>
    </row>
    <row r="25" spans="1:10" ht="15.75" customHeight="1" x14ac:dyDescent="0.25">
      <c r="A25" s="45" t="s">
        <v>169</v>
      </c>
      <c r="B25" s="45"/>
      <c r="C25" s="45"/>
      <c r="D25" s="45"/>
      <c r="E25" s="45"/>
      <c r="F25" s="45"/>
      <c r="G25" s="51">
        <f>SUM(G22:G24)</f>
        <v>67720</v>
      </c>
      <c r="H25" s="51">
        <f>SUM(H22:H24)</f>
        <v>106320.4</v>
      </c>
      <c r="I25" s="52"/>
      <c r="J25" s="46"/>
    </row>
    <row r="26" spans="1:10" ht="15.75" customHeight="1" x14ac:dyDescent="0.25">
      <c r="A26" s="42" t="s">
        <v>170</v>
      </c>
      <c r="B26" s="42"/>
      <c r="C26" s="42"/>
      <c r="D26" s="42"/>
      <c r="E26" s="42"/>
      <c r="F26" s="42"/>
      <c r="G26" s="42"/>
      <c r="H26" s="42"/>
      <c r="I26" s="42"/>
      <c r="J26" s="42"/>
    </row>
    <row r="27" spans="1:10" ht="23.25" customHeight="1" x14ac:dyDescent="0.25">
      <c r="A27" s="43">
        <v>1</v>
      </c>
      <c r="B27" s="7" t="s">
        <v>171</v>
      </c>
      <c r="C27" s="43" t="s">
        <v>172</v>
      </c>
      <c r="D27" s="39">
        <v>1</v>
      </c>
      <c r="E27" s="7" t="s">
        <v>149</v>
      </c>
      <c r="F27" s="49">
        <v>5000</v>
      </c>
      <c r="G27" s="29">
        <f t="shared" ref="G27:G32" si="1">D27*F27</f>
        <v>5000</v>
      </c>
      <c r="H27" s="50">
        <f>G27*PARAMETERS!$B$57</f>
        <v>7850</v>
      </c>
      <c r="I27" s="7" t="s">
        <v>50</v>
      </c>
      <c r="J27" s="44" t="s">
        <v>173</v>
      </c>
    </row>
    <row r="28" spans="1:10" ht="23.25" customHeight="1" x14ac:dyDescent="0.25">
      <c r="A28" s="43" t="s">
        <v>174</v>
      </c>
      <c r="B28" s="7" t="s">
        <v>171</v>
      </c>
      <c r="C28" s="43" t="s">
        <v>175</v>
      </c>
      <c r="D28" s="39">
        <v>1749</v>
      </c>
      <c r="E28" s="7" t="s">
        <v>138</v>
      </c>
      <c r="F28" s="49">
        <v>6</v>
      </c>
      <c r="G28" s="29">
        <f t="shared" si="1"/>
        <v>10494</v>
      </c>
      <c r="H28" s="50">
        <f>G28*PARAMETERS!$B$57</f>
        <v>16475.580000000002</v>
      </c>
      <c r="I28" s="7" t="s">
        <v>68</v>
      </c>
      <c r="J28" s="44" t="s">
        <v>176</v>
      </c>
    </row>
    <row r="29" spans="1:10" ht="15" customHeight="1" x14ac:dyDescent="0.25">
      <c r="A29" s="43" t="s">
        <v>177</v>
      </c>
      <c r="B29" s="7" t="s">
        <v>171</v>
      </c>
      <c r="C29" s="43" t="s">
        <v>178</v>
      </c>
      <c r="D29" s="39">
        <v>1749</v>
      </c>
      <c r="E29" s="7" t="s">
        <v>138</v>
      </c>
      <c r="F29" s="49">
        <v>5</v>
      </c>
      <c r="G29" s="29">
        <f t="shared" si="1"/>
        <v>8745</v>
      </c>
      <c r="H29" s="50">
        <f>G29*PARAMETERS!$B$57</f>
        <v>13729.65</v>
      </c>
      <c r="I29" s="7" t="s">
        <v>50</v>
      </c>
      <c r="J29" s="44" t="s">
        <v>179</v>
      </c>
    </row>
    <row r="30" spans="1:10" ht="15" customHeight="1" x14ac:dyDescent="0.25">
      <c r="A30" s="43" t="s">
        <v>180</v>
      </c>
      <c r="B30" s="7" t="s">
        <v>171</v>
      </c>
      <c r="C30" s="43" t="s">
        <v>181</v>
      </c>
      <c r="D30" s="39">
        <v>1</v>
      </c>
      <c r="E30" s="7" t="s">
        <v>149</v>
      </c>
      <c r="F30" s="49">
        <v>15000</v>
      </c>
      <c r="G30" s="29">
        <f t="shared" si="1"/>
        <v>15000</v>
      </c>
      <c r="H30" s="50">
        <f>G30*PARAMETERS!$B$57</f>
        <v>23550</v>
      </c>
      <c r="I30" s="7" t="s">
        <v>47</v>
      </c>
      <c r="J30" s="44" t="s">
        <v>182</v>
      </c>
    </row>
    <row r="31" spans="1:10" ht="15" customHeight="1" x14ac:dyDescent="0.25">
      <c r="A31" s="43" t="s">
        <v>183</v>
      </c>
      <c r="B31" s="7" t="s">
        <v>171</v>
      </c>
      <c r="C31" s="43" t="s">
        <v>184</v>
      </c>
      <c r="D31" s="39">
        <v>1</v>
      </c>
      <c r="E31" s="7" t="s">
        <v>149</v>
      </c>
      <c r="F31" s="49">
        <v>18000</v>
      </c>
      <c r="G31" s="29">
        <f t="shared" si="1"/>
        <v>18000</v>
      </c>
      <c r="H31" s="50">
        <f>G31*PARAMETERS!$B$57</f>
        <v>28260</v>
      </c>
      <c r="I31" s="7" t="s">
        <v>62</v>
      </c>
      <c r="J31" s="44" t="s">
        <v>185</v>
      </c>
    </row>
    <row r="32" spans="1:10" ht="15" customHeight="1" x14ac:dyDescent="0.25">
      <c r="A32" s="43" t="s">
        <v>186</v>
      </c>
      <c r="B32" s="7" t="s">
        <v>171</v>
      </c>
      <c r="C32" s="43" t="s">
        <v>187</v>
      </c>
      <c r="D32" s="39">
        <v>1</v>
      </c>
      <c r="E32" s="7" t="s">
        <v>149</v>
      </c>
      <c r="F32" s="49">
        <v>10000</v>
      </c>
      <c r="G32" s="29">
        <f t="shared" si="1"/>
        <v>10000</v>
      </c>
      <c r="H32" s="50">
        <f>G32*PARAMETERS!$B$57</f>
        <v>15700</v>
      </c>
      <c r="I32" s="7" t="s">
        <v>56</v>
      </c>
      <c r="J32" s="44" t="s">
        <v>188</v>
      </c>
    </row>
    <row r="33" spans="1:10" ht="15.75" customHeight="1" x14ac:dyDescent="0.25">
      <c r="A33" s="45" t="s">
        <v>189</v>
      </c>
      <c r="B33" s="45"/>
      <c r="C33" s="45"/>
      <c r="D33" s="45"/>
      <c r="E33" s="45"/>
      <c r="F33" s="45"/>
      <c r="G33" s="51">
        <f>SUM(G27:G32)</f>
        <v>67239</v>
      </c>
      <c r="H33" s="51">
        <f>SUM(H27:H32)</f>
        <v>105565.23000000001</v>
      </c>
      <c r="I33" s="52"/>
      <c r="J33" s="46"/>
    </row>
    <row r="34" spans="1:10" ht="15.75" customHeight="1" x14ac:dyDescent="0.25">
      <c r="A34" s="42" t="s">
        <v>190</v>
      </c>
      <c r="B34" s="42"/>
      <c r="C34" s="42"/>
      <c r="D34" s="42"/>
      <c r="E34" s="42"/>
      <c r="F34" s="42"/>
      <c r="G34" s="42"/>
      <c r="H34" s="42"/>
      <c r="I34" s="42"/>
      <c r="J34" s="42"/>
    </row>
    <row r="35" spans="1:10" ht="23.25" customHeight="1" x14ac:dyDescent="0.25">
      <c r="A35" s="43">
        <v>17</v>
      </c>
      <c r="B35" s="7" t="s">
        <v>191</v>
      </c>
      <c r="C35" s="43" t="s">
        <v>192</v>
      </c>
      <c r="D35" s="39">
        <v>1</v>
      </c>
      <c r="E35" s="7" t="s">
        <v>149</v>
      </c>
      <c r="F35" s="49">
        <v>15000</v>
      </c>
      <c r="G35" s="29">
        <f>D35*F35</f>
        <v>15000</v>
      </c>
      <c r="H35" s="50">
        <f>G35*PARAMETERS!$B$57</f>
        <v>23550</v>
      </c>
      <c r="I35" s="7" t="s">
        <v>56</v>
      </c>
      <c r="J35" s="44" t="s">
        <v>193</v>
      </c>
    </row>
    <row r="36" spans="1:10" ht="23.25" customHeight="1" x14ac:dyDescent="0.25">
      <c r="A36" s="43">
        <v>18</v>
      </c>
      <c r="B36" s="7" t="s">
        <v>191</v>
      </c>
      <c r="C36" s="43" t="s">
        <v>194</v>
      </c>
      <c r="D36" s="39">
        <v>1</v>
      </c>
      <c r="E36" s="7" t="s">
        <v>149</v>
      </c>
      <c r="F36" s="49">
        <v>15000</v>
      </c>
      <c r="G36" s="29">
        <f>D36*F36</f>
        <v>15000</v>
      </c>
      <c r="H36" s="50">
        <f>G36*PARAMETERS!$B$57</f>
        <v>23550</v>
      </c>
      <c r="I36" s="7" t="s">
        <v>47</v>
      </c>
      <c r="J36" s="44" t="s">
        <v>195</v>
      </c>
    </row>
    <row r="37" spans="1:10" ht="23.25" customHeight="1" x14ac:dyDescent="0.25">
      <c r="A37" s="43">
        <v>20</v>
      </c>
      <c r="B37" s="7" t="s">
        <v>191</v>
      </c>
      <c r="C37" s="43" t="s">
        <v>196</v>
      </c>
      <c r="D37" s="39">
        <v>1</v>
      </c>
      <c r="E37" s="7" t="s">
        <v>149</v>
      </c>
      <c r="F37" s="49">
        <v>8000</v>
      </c>
      <c r="G37" s="29">
        <f>D37*F37</f>
        <v>8000</v>
      </c>
      <c r="H37" s="50">
        <f>G37*PARAMETERS!$B$57</f>
        <v>12560</v>
      </c>
      <c r="I37" s="7" t="s">
        <v>62</v>
      </c>
      <c r="J37" s="44" t="s">
        <v>197</v>
      </c>
    </row>
    <row r="38" spans="1:10" ht="23.25" customHeight="1" x14ac:dyDescent="0.25">
      <c r="A38" s="43">
        <v>21</v>
      </c>
      <c r="B38" s="7" t="s">
        <v>191</v>
      </c>
      <c r="C38" s="43" t="s">
        <v>198</v>
      </c>
      <c r="D38" s="39">
        <v>2</v>
      </c>
      <c r="E38" s="7" t="s">
        <v>127</v>
      </c>
      <c r="F38" s="49">
        <v>12000</v>
      </c>
      <c r="G38" s="29">
        <f>D38*F38</f>
        <v>24000</v>
      </c>
      <c r="H38" s="50">
        <f>G38*PARAMETERS!$B$57</f>
        <v>37680</v>
      </c>
      <c r="I38" s="7" t="s">
        <v>56</v>
      </c>
      <c r="J38" s="44" t="s">
        <v>199</v>
      </c>
    </row>
    <row r="39" spans="1:10" ht="15.75" customHeight="1" x14ac:dyDescent="0.25">
      <c r="A39" s="45" t="s">
        <v>200</v>
      </c>
      <c r="B39" s="45"/>
      <c r="C39" s="45"/>
      <c r="D39" s="45"/>
      <c r="E39" s="45"/>
      <c r="F39" s="45"/>
      <c r="G39" s="51">
        <f>SUM(G35:G38)</f>
        <v>62000</v>
      </c>
      <c r="H39" s="51">
        <f>SUM(H35:H38)</f>
        <v>97340</v>
      </c>
      <c r="I39" s="52"/>
      <c r="J39" s="46"/>
    </row>
    <row r="40" spans="1:10" ht="15.75" customHeight="1" x14ac:dyDescent="0.25">
      <c r="A40" s="42" t="s">
        <v>201</v>
      </c>
      <c r="B40" s="42"/>
      <c r="C40" s="42"/>
      <c r="D40" s="42"/>
      <c r="E40" s="42"/>
      <c r="F40" s="42"/>
      <c r="G40" s="42"/>
      <c r="H40" s="42"/>
      <c r="I40" s="42"/>
      <c r="J40" s="42"/>
    </row>
    <row r="41" spans="1:10" ht="23.25" customHeight="1" x14ac:dyDescent="0.25">
      <c r="A41" s="43">
        <v>22</v>
      </c>
      <c r="B41" s="7" t="s">
        <v>202</v>
      </c>
      <c r="C41" s="43" t="s">
        <v>203</v>
      </c>
      <c r="D41" s="39">
        <v>1</v>
      </c>
      <c r="E41" s="7" t="s">
        <v>149</v>
      </c>
      <c r="F41" s="49">
        <v>8000</v>
      </c>
      <c r="G41" s="29">
        <f>D41*F41</f>
        <v>8000</v>
      </c>
      <c r="H41" s="50">
        <f>G41*PARAMETERS!$B$57</f>
        <v>12560</v>
      </c>
      <c r="I41" s="7" t="s">
        <v>56</v>
      </c>
      <c r="J41" s="44" t="s">
        <v>204</v>
      </c>
    </row>
    <row r="42" spans="1:10" ht="23.25" customHeight="1" x14ac:dyDescent="0.25">
      <c r="A42" s="43">
        <v>23</v>
      </c>
      <c r="B42" s="7" t="s">
        <v>202</v>
      </c>
      <c r="C42" s="43" t="s">
        <v>205</v>
      </c>
      <c r="D42" s="39">
        <v>1</v>
      </c>
      <c r="E42" s="7" t="s">
        <v>149</v>
      </c>
      <c r="F42" s="49">
        <v>5000</v>
      </c>
      <c r="G42" s="29">
        <f>D42*F42</f>
        <v>5000</v>
      </c>
      <c r="H42" s="50">
        <f>G42*PARAMETERS!$B$57</f>
        <v>7850</v>
      </c>
      <c r="I42" s="7" t="s">
        <v>53</v>
      </c>
      <c r="J42" s="44" t="s">
        <v>206</v>
      </c>
    </row>
    <row r="43" spans="1:10" ht="15" customHeight="1" x14ac:dyDescent="0.25">
      <c r="A43" s="43">
        <v>24</v>
      </c>
      <c r="B43" s="7" t="s">
        <v>202</v>
      </c>
      <c r="C43" s="43" t="s">
        <v>207</v>
      </c>
      <c r="D43" s="39">
        <v>300</v>
      </c>
      <c r="E43" s="7" t="s">
        <v>138</v>
      </c>
      <c r="F43" s="49">
        <v>9</v>
      </c>
      <c r="G43" s="29">
        <f>D43*F43</f>
        <v>2700</v>
      </c>
      <c r="H43" s="50">
        <f>G43*PARAMETERS!$B$57</f>
        <v>4239</v>
      </c>
      <c r="I43" s="7" t="s">
        <v>50</v>
      </c>
      <c r="J43" s="44" t="s">
        <v>208</v>
      </c>
    </row>
    <row r="44" spans="1:10" ht="15" customHeight="1" x14ac:dyDescent="0.25">
      <c r="A44" s="43">
        <v>25</v>
      </c>
      <c r="B44" s="7" t="s">
        <v>202</v>
      </c>
      <c r="C44" s="43" t="s">
        <v>209</v>
      </c>
      <c r="D44" s="39">
        <v>1</v>
      </c>
      <c r="E44" s="7" t="s">
        <v>149</v>
      </c>
      <c r="F44" s="49">
        <v>1500</v>
      </c>
      <c r="G44" s="29">
        <f>D44*F44</f>
        <v>1500</v>
      </c>
      <c r="H44" s="50">
        <f>G44*PARAMETERS!$B$57</f>
        <v>2355</v>
      </c>
      <c r="I44" s="7" t="s">
        <v>68</v>
      </c>
      <c r="J44" s="44" t="s">
        <v>210</v>
      </c>
    </row>
    <row r="45" spans="1:10" ht="15.75" customHeight="1" x14ac:dyDescent="0.25">
      <c r="A45" s="45" t="s">
        <v>211</v>
      </c>
      <c r="B45" s="45"/>
      <c r="C45" s="45"/>
      <c r="D45" s="45"/>
      <c r="E45" s="45"/>
      <c r="F45" s="45"/>
      <c r="G45" s="51">
        <f>SUM(G41:G44)</f>
        <v>17200</v>
      </c>
      <c r="H45" s="51">
        <f>SUM(H41:H44)</f>
        <v>27004</v>
      </c>
      <c r="I45" s="52"/>
      <c r="J45" s="46"/>
    </row>
    <row r="46" spans="1:10" ht="15.75" customHeight="1" x14ac:dyDescent="0.25">
      <c r="A46" s="42" t="s">
        <v>212</v>
      </c>
      <c r="B46" s="42"/>
      <c r="C46" s="42"/>
      <c r="D46" s="42"/>
      <c r="E46" s="42"/>
      <c r="F46" s="42"/>
      <c r="G46" s="42"/>
      <c r="H46" s="42"/>
      <c r="I46" s="42"/>
      <c r="J46" s="42"/>
    </row>
    <row r="47" spans="1:10" ht="30.75" customHeight="1" x14ac:dyDescent="0.25">
      <c r="A47" s="43">
        <v>26</v>
      </c>
      <c r="B47" s="7" t="s">
        <v>213</v>
      </c>
      <c r="C47" s="43" t="s">
        <v>214</v>
      </c>
      <c r="D47" s="39">
        <v>1</v>
      </c>
      <c r="E47" s="7" t="s">
        <v>149</v>
      </c>
      <c r="F47" s="49">
        <v>30000</v>
      </c>
      <c r="G47" s="29">
        <f t="shared" ref="G47:G69" si="2">D47*F47</f>
        <v>30000</v>
      </c>
      <c r="H47" s="50">
        <f>G47*PARAMETERS!$B$57</f>
        <v>47100</v>
      </c>
      <c r="I47" s="7" t="s">
        <v>68</v>
      </c>
      <c r="J47" s="44" t="s">
        <v>215</v>
      </c>
    </row>
    <row r="48" spans="1:10" ht="26.25" customHeight="1" x14ac:dyDescent="0.25">
      <c r="A48" s="43">
        <v>35</v>
      </c>
      <c r="B48" s="7" t="s">
        <v>213</v>
      </c>
      <c r="C48" s="43" t="s">
        <v>216</v>
      </c>
      <c r="D48" s="39">
        <v>1</v>
      </c>
      <c r="E48" s="7" t="s">
        <v>127</v>
      </c>
      <c r="F48" s="49">
        <v>5000</v>
      </c>
      <c r="G48" s="29">
        <f t="shared" si="2"/>
        <v>5000</v>
      </c>
      <c r="H48" s="50">
        <f>G48*PARAMETERS!$B$57</f>
        <v>7850</v>
      </c>
      <c r="I48" s="7" t="s">
        <v>68</v>
      </c>
      <c r="J48" s="44" t="s">
        <v>217</v>
      </c>
    </row>
    <row r="49" spans="1:10" ht="23.25" customHeight="1" x14ac:dyDescent="0.25">
      <c r="A49" s="43">
        <v>39</v>
      </c>
      <c r="B49" s="7" t="s">
        <v>213</v>
      </c>
      <c r="C49" s="43" t="s">
        <v>218</v>
      </c>
      <c r="D49" s="39">
        <v>1</v>
      </c>
      <c r="E49" s="7" t="s">
        <v>149</v>
      </c>
      <c r="F49" s="49">
        <v>14000</v>
      </c>
      <c r="G49" s="29">
        <f t="shared" si="2"/>
        <v>14000</v>
      </c>
      <c r="H49" s="50">
        <f>G49*PARAMETERS!$B$57</f>
        <v>21980</v>
      </c>
      <c r="I49" s="7" t="s">
        <v>68</v>
      </c>
      <c r="J49" s="44" t="s">
        <v>219</v>
      </c>
    </row>
    <row r="50" spans="1:10" ht="23.25" customHeight="1" x14ac:dyDescent="0.25">
      <c r="A50" s="43">
        <v>40</v>
      </c>
      <c r="B50" s="7" t="s">
        <v>213</v>
      </c>
      <c r="C50" s="43" t="s">
        <v>220</v>
      </c>
      <c r="D50" s="39">
        <v>1</v>
      </c>
      <c r="E50" s="7" t="s">
        <v>149</v>
      </c>
      <c r="F50" s="49">
        <v>12000</v>
      </c>
      <c r="G50" s="29">
        <f t="shared" si="2"/>
        <v>12000</v>
      </c>
      <c r="H50" s="50">
        <f>G50*PARAMETERS!$B$57</f>
        <v>18840</v>
      </c>
      <c r="I50" s="7" t="s">
        <v>68</v>
      </c>
      <c r="J50" s="44" t="s">
        <v>221</v>
      </c>
    </row>
    <row r="51" spans="1:10" ht="23.25" customHeight="1" x14ac:dyDescent="0.25">
      <c r="A51" s="43">
        <v>30</v>
      </c>
      <c r="B51" s="7" t="s">
        <v>213</v>
      </c>
      <c r="C51" s="43" t="s">
        <v>222</v>
      </c>
      <c r="D51" s="39">
        <v>1</v>
      </c>
      <c r="E51" s="7" t="s">
        <v>149</v>
      </c>
      <c r="F51" s="49">
        <v>8000</v>
      </c>
      <c r="G51" s="29">
        <f t="shared" si="2"/>
        <v>8000</v>
      </c>
      <c r="H51" s="50">
        <f>G51*PARAMETERS!$B$57</f>
        <v>12560</v>
      </c>
      <c r="I51" s="7" t="s">
        <v>68</v>
      </c>
      <c r="J51" s="44" t="s">
        <v>223</v>
      </c>
    </row>
    <row r="52" spans="1:10" ht="23.25" customHeight="1" x14ac:dyDescent="0.25">
      <c r="A52" s="43">
        <v>43</v>
      </c>
      <c r="B52" s="7" t="s">
        <v>213</v>
      </c>
      <c r="C52" s="43" t="s">
        <v>224</v>
      </c>
      <c r="D52" s="39">
        <v>1</v>
      </c>
      <c r="E52" s="7" t="s">
        <v>149</v>
      </c>
      <c r="F52" s="49">
        <v>6000</v>
      </c>
      <c r="G52" s="29">
        <f t="shared" si="2"/>
        <v>6000</v>
      </c>
      <c r="H52" s="50">
        <f>G52*PARAMETERS!$B$57</f>
        <v>9420</v>
      </c>
      <c r="I52" s="7" t="s">
        <v>68</v>
      </c>
      <c r="J52" s="44" t="s">
        <v>225</v>
      </c>
    </row>
    <row r="53" spans="1:10" ht="23.25" customHeight="1" x14ac:dyDescent="0.25">
      <c r="A53" s="43">
        <v>27</v>
      </c>
      <c r="B53" s="7" t="s">
        <v>213</v>
      </c>
      <c r="C53" s="43" t="s">
        <v>226</v>
      </c>
      <c r="D53" s="39">
        <v>398</v>
      </c>
      <c r="E53" s="7" t="s">
        <v>138</v>
      </c>
      <c r="F53" s="49">
        <v>35</v>
      </c>
      <c r="G53" s="29">
        <f t="shared" si="2"/>
        <v>13930</v>
      </c>
      <c r="H53" s="50">
        <f>G53*PARAMETERS!$B$57</f>
        <v>21870.100000000002</v>
      </c>
      <c r="I53" s="7" t="s">
        <v>50</v>
      </c>
      <c r="J53" s="44" t="s">
        <v>227</v>
      </c>
    </row>
    <row r="54" spans="1:10" ht="23.25" customHeight="1" x14ac:dyDescent="0.25">
      <c r="A54" s="43">
        <v>28</v>
      </c>
      <c r="B54" s="7" t="s">
        <v>213</v>
      </c>
      <c r="C54" s="43" t="s">
        <v>228</v>
      </c>
      <c r="D54" s="39">
        <v>300</v>
      </c>
      <c r="E54" s="7" t="s">
        <v>138</v>
      </c>
      <c r="F54" s="49">
        <v>32</v>
      </c>
      <c r="G54" s="29">
        <f t="shared" si="2"/>
        <v>9600</v>
      </c>
      <c r="H54" s="50">
        <f>G54*PARAMETERS!$B$57</f>
        <v>15072</v>
      </c>
      <c r="I54" s="7" t="s">
        <v>50</v>
      </c>
      <c r="J54" s="44" t="s">
        <v>229</v>
      </c>
    </row>
    <row r="55" spans="1:10" ht="23.25" customHeight="1" x14ac:dyDescent="0.25">
      <c r="A55" s="43">
        <v>41</v>
      </c>
      <c r="B55" s="7" t="s">
        <v>213</v>
      </c>
      <c r="C55" s="43" t="s">
        <v>230</v>
      </c>
      <c r="D55" s="39">
        <v>97</v>
      </c>
      <c r="E55" s="7" t="s">
        <v>138</v>
      </c>
      <c r="F55" s="49">
        <v>28</v>
      </c>
      <c r="G55" s="29">
        <f t="shared" si="2"/>
        <v>2716</v>
      </c>
      <c r="H55" s="50">
        <f>G55*PARAMETERS!$B$57</f>
        <v>4264.12</v>
      </c>
      <c r="I55" s="7" t="s">
        <v>50</v>
      </c>
      <c r="J55" s="44" t="s">
        <v>231</v>
      </c>
    </row>
    <row r="56" spans="1:10" ht="23.25" customHeight="1" x14ac:dyDescent="0.25">
      <c r="A56" s="43">
        <v>42</v>
      </c>
      <c r="B56" s="7" t="s">
        <v>213</v>
      </c>
      <c r="C56" s="43" t="s">
        <v>232</v>
      </c>
      <c r="D56" s="39">
        <v>124</v>
      </c>
      <c r="E56" s="7" t="s">
        <v>138</v>
      </c>
      <c r="F56" s="49">
        <v>28</v>
      </c>
      <c r="G56" s="29">
        <f t="shared" si="2"/>
        <v>3472</v>
      </c>
      <c r="H56" s="50">
        <f>G56*PARAMETERS!$B$57</f>
        <v>5451.04</v>
      </c>
      <c r="I56" s="7" t="s">
        <v>50</v>
      </c>
      <c r="J56" s="44" t="s">
        <v>231</v>
      </c>
    </row>
    <row r="57" spans="1:10" ht="23.25" customHeight="1" x14ac:dyDescent="0.25">
      <c r="A57" s="43">
        <v>31</v>
      </c>
      <c r="B57" s="7" t="s">
        <v>213</v>
      </c>
      <c r="C57" s="43" t="s">
        <v>233</v>
      </c>
      <c r="D57" s="39">
        <v>1</v>
      </c>
      <c r="E57" s="7" t="s">
        <v>127</v>
      </c>
      <c r="F57" s="49">
        <v>4000</v>
      </c>
      <c r="G57" s="29">
        <f t="shared" si="2"/>
        <v>4000</v>
      </c>
      <c r="H57" s="50">
        <f>G57*PARAMETERS!$B$57</f>
        <v>6280</v>
      </c>
      <c r="I57" s="7" t="s">
        <v>47</v>
      </c>
      <c r="J57" s="44" t="s">
        <v>234</v>
      </c>
    </row>
    <row r="58" spans="1:10" ht="23.25" customHeight="1" x14ac:dyDescent="0.25">
      <c r="A58" s="43">
        <v>36</v>
      </c>
      <c r="B58" s="7" t="s">
        <v>213</v>
      </c>
      <c r="C58" s="43" t="s">
        <v>235</v>
      </c>
      <c r="D58" s="39">
        <v>1</v>
      </c>
      <c r="E58" s="7" t="s">
        <v>149</v>
      </c>
      <c r="F58" s="49">
        <v>18000</v>
      </c>
      <c r="G58" s="29">
        <f t="shared" si="2"/>
        <v>18000</v>
      </c>
      <c r="H58" s="50">
        <f>G58*PARAMETERS!$B$57</f>
        <v>28260</v>
      </c>
      <c r="I58" s="7" t="s">
        <v>53</v>
      </c>
      <c r="J58" s="44" t="s">
        <v>236</v>
      </c>
    </row>
    <row r="59" spans="1:10" ht="20.25" customHeight="1" x14ac:dyDescent="0.25">
      <c r="A59" s="43">
        <v>37</v>
      </c>
      <c r="B59" s="7" t="s">
        <v>213</v>
      </c>
      <c r="C59" s="43" t="s">
        <v>237</v>
      </c>
      <c r="D59" s="39">
        <v>1</v>
      </c>
      <c r="E59" s="7" t="s">
        <v>149</v>
      </c>
      <c r="F59" s="49">
        <v>65000</v>
      </c>
      <c r="G59" s="29">
        <f t="shared" si="2"/>
        <v>65000</v>
      </c>
      <c r="H59" s="50">
        <f>G59*PARAMETERS!$B$57</f>
        <v>102050</v>
      </c>
      <c r="I59" s="7" t="s">
        <v>56</v>
      </c>
      <c r="J59" s="44" t="s">
        <v>238</v>
      </c>
    </row>
    <row r="60" spans="1:10" ht="23.25" customHeight="1" x14ac:dyDescent="0.25">
      <c r="A60" s="43">
        <v>29</v>
      </c>
      <c r="B60" s="7" t="s">
        <v>213</v>
      </c>
      <c r="C60" s="43" t="s">
        <v>239</v>
      </c>
      <c r="D60" s="39">
        <v>1</v>
      </c>
      <c r="E60" s="7" t="s">
        <v>149</v>
      </c>
      <c r="F60" s="49">
        <v>5000</v>
      </c>
      <c r="G60" s="29">
        <f t="shared" si="2"/>
        <v>5000</v>
      </c>
      <c r="H60" s="50">
        <f>G60*PARAMETERS!$B$57</f>
        <v>7850</v>
      </c>
      <c r="I60" s="7" t="s">
        <v>62</v>
      </c>
      <c r="J60" s="44" t="s">
        <v>240</v>
      </c>
    </row>
    <row r="61" spans="1:10" ht="23.25" customHeight="1" x14ac:dyDescent="0.25">
      <c r="A61" s="43">
        <v>32</v>
      </c>
      <c r="B61" s="7" t="s">
        <v>213</v>
      </c>
      <c r="C61" s="43" t="s">
        <v>241</v>
      </c>
      <c r="D61" s="39">
        <v>1</v>
      </c>
      <c r="E61" s="7" t="s">
        <v>149</v>
      </c>
      <c r="F61" s="49">
        <v>7000</v>
      </c>
      <c r="G61" s="29">
        <f t="shared" si="2"/>
        <v>7000</v>
      </c>
      <c r="H61" s="50">
        <f>G61*PARAMETERS!$B$57</f>
        <v>10990</v>
      </c>
      <c r="I61" s="7" t="s">
        <v>62</v>
      </c>
      <c r="J61" s="44" t="s">
        <v>242</v>
      </c>
    </row>
    <row r="62" spans="1:10" ht="23.25" customHeight="1" x14ac:dyDescent="0.25">
      <c r="A62" s="43">
        <v>33</v>
      </c>
      <c r="B62" s="7" t="s">
        <v>213</v>
      </c>
      <c r="C62" s="43" t="s">
        <v>243</v>
      </c>
      <c r="D62" s="39">
        <v>1</v>
      </c>
      <c r="E62" s="7" t="s">
        <v>149</v>
      </c>
      <c r="F62" s="49">
        <v>6000</v>
      </c>
      <c r="G62" s="29">
        <f t="shared" si="2"/>
        <v>6000</v>
      </c>
      <c r="H62" s="50">
        <f>G62*PARAMETERS!$B$57</f>
        <v>9420</v>
      </c>
      <c r="I62" s="7" t="s">
        <v>62</v>
      </c>
      <c r="J62" s="44" t="s">
        <v>240</v>
      </c>
    </row>
    <row r="63" spans="1:10" ht="23.25" customHeight="1" x14ac:dyDescent="0.25">
      <c r="A63" s="43">
        <v>34</v>
      </c>
      <c r="B63" s="7" t="s">
        <v>213</v>
      </c>
      <c r="C63" s="43" t="s">
        <v>244</v>
      </c>
      <c r="D63" s="39">
        <v>1</v>
      </c>
      <c r="E63" s="7" t="s">
        <v>149</v>
      </c>
      <c r="F63" s="49">
        <v>6000</v>
      </c>
      <c r="G63" s="29">
        <f t="shared" si="2"/>
        <v>6000</v>
      </c>
      <c r="H63" s="50">
        <f>G63*PARAMETERS!$B$57</f>
        <v>9420</v>
      </c>
      <c r="I63" s="7" t="s">
        <v>62</v>
      </c>
      <c r="J63" s="44" t="s">
        <v>245</v>
      </c>
    </row>
    <row r="64" spans="1:10" ht="15" customHeight="1" x14ac:dyDescent="0.25">
      <c r="A64" s="43">
        <v>44</v>
      </c>
      <c r="B64" s="7" t="s">
        <v>213</v>
      </c>
      <c r="C64" s="43" t="s">
        <v>246</v>
      </c>
      <c r="D64" s="39">
        <v>1</v>
      </c>
      <c r="E64" s="7" t="s">
        <v>149</v>
      </c>
      <c r="F64" s="49">
        <v>3500</v>
      </c>
      <c r="G64" s="29">
        <f t="shared" si="2"/>
        <v>3500</v>
      </c>
      <c r="H64" s="50">
        <f>G64*PARAMETERS!$B$57</f>
        <v>5495</v>
      </c>
      <c r="I64" s="7" t="s">
        <v>68</v>
      </c>
      <c r="J64" s="44" t="s">
        <v>247</v>
      </c>
    </row>
    <row r="65" spans="1:10" ht="15" customHeight="1" x14ac:dyDescent="0.25">
      <c r="A65" s="43">
        <v>45</v>
      </c>
      <c r="B65" s="7" t="s">
        <v>213</v>
      </c>
      <c r="C65" s="43" t="s">
        <v>248</v>
      </c>
      <c r="D65" s="39">
        <v>1</v>
      </c>
      <c r="E65" s="7" t="s">
        <v>149</v>
      </c>
      <c r="F65" s="49">
        <v>2000</v>
      </c>
      <c r="G65" s="29">
        <f t="shared" si="2"/>
        <v>2000</v>
      </c>
      <c r="H65" s="50">
        <f>G65*PARAMETERS!$B$57</f>
        <v>3140</v>
      </c>
      <c r="I65" s="7" t="s">
        <v>68</v>
      </c>
      <c r="J65" s="44" t="s">
        <v>249</v>
      </c>
    </row>
    <row r="66" spans="1:10" ht="15" customHeight="1" x14ac:dyDescent="0.25">
      <c r="A66" s="43">
        <v>46</v>
      </c>
      <c r="B66" s="7" t="s">
        <v>213</v>
      </c>
      <c r="C66" s="43" t="s">
        <v>250</v>
      </c>
      <c r="D66" s="39">
        <v>1</v>
      </c>
      <c r="E66" s="7" t="s">
        <v>149</v>
      </c>
      <c r="F66" s="49">
        <v>2000</v>
      </c>
      <c r="G66" s="29">
        <f t="shared" si="2"/>
        <v>2000</v>
      </c>
      <c r="H66" s="50">
        <f>G66*PARAMETERS!$B$57</f>
        <v>3140</v>
      </c>
      <c r="I66" s="7" t="s">
        <v>68</v>
      </c>
      <c r="J66" s="44" t="s">
        <v>249</v>
      </c>
    </row>
    <row r="67" spans="1:10" ht="34.5" customHeight="1" x14ac:dyDescent="0.25">
      <c r="A67" s="43">
        <v>38</v>
      </c>
      <c r="B67" s="7" t="s">
        <v>213</v>
      </c>
      <c r="C67" s="43" t="s">
        <v>251</v>
      </c>
      <c r="D67" s="39">
        <v>1</v>
      </c>
      <c r="E67" s="7" t="s">
        <v>149</v>
      </c>
      <c r="F67" s="49">
        <v>220000</v>
      </c>
      <c r="G67" s="29">
        <f t="shared" si="2"/>
        <v>220000</v>
      </c>
      <c r="H67" s="50">
        <f>G67*PARAMETERS!$B$57</f>
        <v>345400</v>
      </c>
      <c r="I67" s="7" t="s">
        <v>62</v>
      </c>
      <c r="J67" s="44" t="s">
        <v>252</v>
      </c>
    </row>
    <row r="68" spans="1:10" ht="39.75" customHeight="1" x14ac:dyDescent="0.25">
      <c r="A68" s="43">
        <v>63</v>
      </c>
      <c r="B68" s="7" t="s">
        <v>213</v>
      </c>
      <c r="C68" s="43" t="s">
        <v>253</v>
      </c>
      <c r="D68" s="39">
        <v>1</v>
      </c>
      <c r="E68" s="7" t="s">
        <v>127</v>
      </c>
      <c r="F68" s="49">
        <v>14599.4</v>
      </c>
      <c r="G68" s="29">
        <f t="shared" si="2"/>
        <v>14599.4</v>
      </c>
      <c r="H68" s="50">
        <f>G68*PARAMETERS!$B$57</f>
        <v>22921.058000000001</v>
      </c>
      <c r="I68" s="7" t="s">
        <v>47</v>
      </c>
      <c r="J68" s="44" t="s">
        <v>254</v>
      </c>
    </row>
    <row r="69" spans="1:10" ht="34.5" customHeight="1" x14ac:dyDescent="0.25">
      <c r="A69" s="43">
        <v>64</v>
      </c>
      <c r="B69" s="7" t="s">
        <v>213</v>
      </c>
      <c r="C69" s="43" t="s">
        <v>255</v>
      </c>
      <c r="D69" s="39">
        <v>1</v>
      </c>
      <c r="E69" s="7" t="s">
        <v>149</v>
      </c>
      <c r="F69" s="49">
        <v>12000</v>
      </c>
      <c r="G69" s="29">
        <f t="shared" si="2"/>
        <v>12000</v>
      </c>
      <c r="H69" s="50">
        <f>G69*PARAMETERS!$B$57</f>
        <v>18840</v>
      </c>
      <c r="I69" s="7" t="s">
        <v>47</v>
      </c>
      <c r="J69" s="44" t="s">
        <v>256</v>
      </c>
    </row>
    <row r="70" spans="1:10" ht="15.75" customHeight="1" x14ac:dyDescent="0.25">
      <c r="A70" s="45" t="s">
        <v>257</v>
      </c>
      <c r="B70" s="45"/>
      <c r="C70" s="45"/>
      <c r="D70" s="45"/>
      <c r="E70" s="45"/>
      <c r="F70" s="45"/>
      <c r="G70" s="51">
        <f>SUM(G47:G69)</f>
        <v>469817.4</v>
      </c>
      <c r="H70" s="51">
        <f>SUM(H47:H69)</f>
        <v>737613.31799999997</v>
      </c>
      <c r="I70" s="52"/>
      <c r="J70" s="46"/>
    </row>
    <row r="71" spans="1:10" ht="15.75" customHeight="1" x14ac:dyDescent="0.25">
      <c r="A71" s="42" t="s">
        <v>258</v>
      </c>
      <c r="B71" s="42"/>
      <c r="C71" s="42"/>
      <c r="D71" s="42"/>
      <c r="E71" s="42"/>
      <c r="F71" s="42"/>
      <c r="G71" s="42"/>
      <c r="H71" s="42"/>
      <c r="I71" s="42"/>
      <c r="J71" s="42"/>
    </row>
    <row r="72" spans="1:10" ht="29.25" customHeight="1" x14ac:dyDescent="0.25">
      <c r="A72" s="43">
        <v>47</v>
      </c>
      <c r="B72" s="7" t="s">
        <v>259</v>
      </c>
      <c r="C72" s="43" t="s">
        <v>260</v>
      </c>
      <c r="D72" s="39">
        <v>1</v>
      </c>
      <c r="E72" s="7" t="s">
        <v>149</v>
      </c>
      <c r="F72" s="49">
        <v>35000</v>
      </c>
      <c r="G72" s="29">
        <f>D72*F72</f>
        <v>35000</v>
      </c>
      <c r="H72" s="50">
        <f>G72*PARAMETERS!$B$57</f>
        <v>54950</v>
      </c>
      <c r="I72" s="7" t="s">
        <v>56</v>
      </c>
      <c r="J72" s="44" t="s">
        <v>261</v>
      </c>
    </row>
    <row r="73" spans="1:10" ht="25.5" customHeight="1" x14ac:dyDescent="0.25">
      <c r="A73" s="43">
        <v>48</v>
      </c>
      <c r="B73" s="7" t="s">
        <v>259</v>
      </c>
      <c r="C73" s="43" t="s">
        <v>262</v>
      </c>
      <c r="D73" s="39">
        <v>1</v>
      </c>
      <c r="E73" s="7" t="s">
        <v>149</v>
      </c>
      <c r="F73" s="49">
        <v>500000</v>
      </c>
      <c r="G73" s="29">
        <f>D73*F73</f>
        <v>500000</v>
      </c>
      <c r="H73" s="50">
        <f>G73*PARAMETERS!$B$57</f>
        <v>785000</v>
      </c>
      <c r="I73" s="7" t="s">
        <v>56</v>
      </c>
      <c r="J73" s="44" t="s">
        <v>263</v>
      </c>
    </row>
    <row r="74" spans="1:10" ht="35.25" customHeight="1" x14ac:dyDescent="0.25">
      <c r="A74" s="43">
        <v>49</v>
      </c>
      <c r="B74" s="7" t="s">
        <v>259</v>
      </c>
      <c r="C74" s="43" t="s">
        <v>264</v>
      </c>
      <c r="D74" s="39">
        <v>1</v>
      </c>
      <c r="E74" s="7" t="s">
        <v>149</v>
      </c>
      <c r="F74" s="49">
        <v>60000</v>
      </c>
      <c r="G74" s="29">
        <f>D74*F74</f>
        <v>60000</v>
      </c>
      <c r="H74" s="50">
        <f>G74*PARAMETERS!$B$57</f>
        <v>94200</v>
      </c>
      <c r="I74" s="7" t="s">
        <v>56</v>
      </c>
      <c r="J74" s="44" t="s">
        <v>265</v>
      </c>
    </row>
    <row r="75" spans="1:10" ht="32.25" customHeight="1" x14ac:dyDescent="0.25">
      <c r="A75" s="43">
        <v>50</v>
      </c>
      <c r="B75" s="7" t="s">
        <v>259</v>
      </c>
      <c r="C75" s="43" t="s">
        <v>266</v>
      </c>
      <c r="D75" s="39">
        <v>4</v>
      </c>
      <c r="E75" s="7" t="s">
        <v>127</v>
      </c>
      <c r="F75" s="49">
        <v>2500</v>
      </c>
      <c r="G75" s="29">
        <f>D75*F75</f>
        <v>10000</v>
      </c>
      <c r="H75" s="50">
        <f>G75*PARAMETERS!$B$57</f>
        <v>15700</v>
      </c>
      <c r="I75" s="7" t="s">
        <v>59</v>
      </c>
      <c r="J75" s="44" t="s">
        <v>267</v>
      </c>
    </row>
    <row r="76" spans="1:10" ht="30.75" customHeight="1" x14ac:dyDescent="0.25">
      <c r="A76" s="43">
        <v>51</v>
      </c>
      <c r="B76" s="7" t="s">
        <v>259</v>
      </c>
      <c r="C76" s="43" t="s">
        <v>268</v>
      </c>
      <c r="D76" s="39">
        <v>4</v>
      </c>
      <c r="E76" s="7" t="s">
        <v>127</v>
      </c>
      <c r="F76" s="49">
        <v>5000</v>
      </c>
      <c r="G76" s="29">
        <f>D76*F76</f>
        <v>20000</v>
      </c>
      <c r="H76" s="50">
        <f>G76*PARAMETERS!$B$57</f>
        <v>31400</v>
      </c>
      <c r="I76" s="7" t="s">
        <v>53</v>
      </c>
      <c r="J76" s="44" t="s">
        <v>269</v>
      </c>
    </row>
    <row r="77" spans="1:10" ht="15.75" customHeight="1" x14ac:dyDescent="0.25">
      <c r="A77" s="45" t="s">
        <v>270</v>
      </c>
      <c r="B77" s="45"/>
      <c r="C77" s="45"/>
      <c r="D77" s="45"/>
      <c r="E77" s="45"/>
      <c r="F77" s="45"/>
      <c r="G77" s="51">
        <f>SUM(G72:G76)</f>
        <v>625000</v>
      </c>
      <c r="H77" s="51">
        <f>SUM(H72:H76)</f>
        <v>981250</v>
      </c>
      <c r="I77" s="52"/>
      <c r="J77" s="46"/>
    </row>
    <row r="78" spans="1:10" ht="15.75" customHeight="1" x14ac:dyDescent="0.25">
      <c r="A78" s="42" t="s">
        <v>271</v>
      </c>
      <c r="B78" s="42"/>
      <c r="C78" s="42"/>
      <c r="D78" s="42"/>
      <c r="E78" s="42"/>
      <c r="F78" s="42"/>
      <c r="G78" s="42"/>
      <c r="H78" s="42"/>
      <c r="I78" s="42"/>
      <c r="J78" s="42"/>
    </row>
    <row r="79" spans="1:10" ht="23.25" customHeight="1" x14ac:dyDescent="0.25">
      <c r="A79" s="43">
        <v>52</v>
      </c>
      <c r="B79" s="7" t="s">
        <v>272</v>
      </c>
      <c r="C79" s="43" t="s">
        <v>273</v>
      </c>
      <c r="D79" s="39">
        <v>1</v>
      </c>
      <c r="E79" s="7" t="s">
        <v>149</v>
      </c>
      <c r="F79" s="49">
        <v>12000</v>
      </c>
      <c r="G79" s="29">
        <f>D79*F79</f>
        <v>12000</v>
      </c>
      <c r="H79" s="50">
        <f>G79*PARAMETERS!$B$57</f>
        <v>18840</v>
      </c>
      <c r="I79" s="7" t="s">
        <v>68</v>
      </c>
      <c r="J79" s="44" t="s">
        <v>274</v>
      </c>
    </row>
    <row r="80" spans="1:10" ht="28.5" customHeight="1" x14ac:dyDescent="0.25">
      <c r="A80" s="43">
        <v>53</v>
      </c>
      <c r="B80" s="7" t="s">
        <v>272</v>
      </c>
      <c r="C80" s="43" t="s">
        <v>275</v>
      </c>
      <c r="D80" s="39">
        <v>1</v>
      </c>
      <c r="E80" s="7" t="s">
        <v>149</v>
      </c>
      <c r="F80" s="49">
        <v>85000</v>
      </c>
      <c r="G80" s="29">
        <f>D80*F80</f>
        <v>85000</v>
      </c>
      <c r="H80" s="50">
        <f>G80*PARAMETERS!$B$57</f>
        <v>133450</v>
      </c>
      <c r="I80" s="7" t="s">
        <v>62</v>
      </c>
      <c r="J80" s="44" t="s">
        <v>276</v>
      </c>
    </row>
    <row r="81" spans="1:10" ht="23.25" customHeight="1" x14ac:dyDescent="0.25">
      <c r="A81" s="43">
        <v>54</v>
      </c>
      <c r="B81" s="7" t="s">
        <v>272</v>
      </c>
      <c r="C81" s="43" t="s">
        <v>277</v>
      </c>
      <c r="D81" s="39">
        <v>1</v>
      </c>
      <c r="E81" s="7" t="s">
        <v>149</v>
      </c>
      <c r="F81" s="49">
        <v>15000</v>
      </c>
      <c r="G81" s="29">
        <f>D81*F81</f>
        <v>15000</v>
      </c>
      <c r="H81" s="50">
        <f>G81*PARAMETERS!$B$57</f>
        <v>23550</v>
      </c>
      <c r="I81" s="7" t="s">
        <v>62</v>
      </c>
      <c r="J81" s="44" t="s">
        <v>278</v>
      </c>
    </row>
    <row r="82" spans="1:10" ht="23.25" customHeight="1" x14ac:dyDescent="0.25">
      <c r="A82" s="43">
        <v>55</v>
      </c>
      <c r="B82" s="7" t="s">
        <v>272</v>
      </c>
      <c r="C82" s="43" t="s">
        <v>279</v>
      </c>
      <c r="D82" s="39">
        <v>28</v>
      </c>
      <c r="E82" s="7" t="s">
        <v>127</v>
      </c>
      <c r="F82" s="49">
        <v>1200</v>
      </c>
      <c r="G82" s="29">
        <f>D82*F82</f>
        <v>33600</v>
      </c>
      <c r="H82" s="50">
        <f>G82*PARAMETERS!$B$57</f>
        <v>52752</v>
      </c>
      <c r="I82" s="7" t="s">
        <v>62</v>
      </c>
      <c r="J82" s="44" t="s">
        <v>280</v>
      </c>
    </row>
    <row r="83" spans="1:10" ht="15" customHeight="1" x14ac:dyDescent="0.25">
      <c r="A83" s="43">
        <v>56</v>
      </c>
      <c r="B83" s="7" t="s">
        <v>272</v>
      </c>
      <c r="C83" s="43" t="s">
        <v>281</v>
      </c>
      <c r="D83" s="39">
        <v>1</v>
      </c>
      <c r="E83" s="7" t="s">
        <v>149</v>
      </c>
      <c r="F83" s="49">
        <v>4000</v>
      </c>
      <c r="G83" s="29">
        <f>D83*F83</f>
        <v>4000</v>
      </c>
      <c r="H83" s="50">
        <f>G83*PARAMETERS!$B$57</f>
        <v>6280</v>
      </c>
      <c r="I83" s="7" t="s">
        <v>68</v>
      </c>
      <c r="J83" s="44" t="s">
        <v>282</v>
      </c>
    </row>
    <row r="84" spans="1:10" ht="15.75" customHeight="1" x14ac:dyDescent="0.25">
      <c r="A84" s="45" t="s">
        <v>283</v>
      </c>
      <c r="B84" s="45"/>
      <c r="C84" s="45"/>
      <c r="D84" s="45"/>
      <c r="E84" s="45"/>
      <c r="F84" s="45"/>
      <c r="G84" s="51">
        <f>SUM(G79:G83)</f>
        <v>149600</v>
      </c>
      <c r="H84" s="51">
        <f>SUM(H79:H83)</f>
        <v>234872</v>
      </c>
      <c r="I84" s="52"/>
      <c r="J84" s="46"/>
    </row>
    <row r="85" spans="1:10" ht="15.75" customHeight="1" x14ac:dyDescent="0.25">
      <c r="A85" s="42" t="s">
        <v>284</v>
      </c>
      <c r="B85" s="42"/>
      <c r="C85" s="42"/>
      <c r="D85" s="42"/>
      <c r="E85" s="42"/>
      <c r="F85" s="42"/>
      <c r="G85" s="42"/>
      <c r="H85" s="42"/>
      <c r="I85" s="42"/>
      <c r="J85" s="42"/>
    </row>
    <row r="86" spans="1:10" ht="15" customHeight="1" x14ac:dyDescent="0.25">
      <c r="A86" s="43">
        <v>57</v>
      </c>
      <c r="B86" s="7" t="s">
        <v>285</v>
      </c>
      <c r="C86" s="43" t="s">
        <v>286</v>
      </c>
      <c r="D86" s="39">
        <v>6</v>
      </c>
      <c r="E86" s="7" t="s">
        <v>127</v>
      </c>
      <c r="F86" s="49">
        <v>1500</v>
      </c>
      <c r="G86" s="29">
        <f>D86*F86</f>
        <v>9000</v>
      </c>
      <c r="H86" s="50">
        <f>G86*PARAMETERS!$B$57</f>
        <v>14130</v>
      </c>
      <c r="I86" s="7" t="s">
        <v>71</v>
      </c>
      <c r="J86" s="44" t="s">
        <v>287</v>
      </c>
    </row>
    <row r="87" spans="1:10" ht="15" customHeight="1" x14ac:dyDescent="0.25">
      <c r="A87" s="43">
        <v>58</v>
      </c>
      <c r="B87" s="7" t="s">
        <v>285</v>
      </c>
      <c r="C87" s="43" t="s">
        <v>288</v>
      </c>
      <c r="D87" s="39">
        <v>3</v>
      </c>
      <c r="E87" s="7" t="s">
        <v>127</v>
      </c>
      <c r="F87" s="49">
        <v>35000</v>
      </c>
      <c r="G87" s="29">
        <f>D87*F87</f>
        <v>105000</v>
      </c>
      <c r="H87" s="50">
        <f>G87*PARAMETERS!$B$57</f>
        <v>164850</v>
      </c>
      <c r="I87" s="7" t="s">
        <v>74</v>
      </c>
      <c r="J87" s="44" t="s">
        <v>289</v>
      </c>
    </row>
    <row r="88" spans="1:10" ht="23.25" customHeight="1" x14ac:dyDescent="0.25">
      <c r="A88" s="43">
        <v>59</v>
      </c>
      <c r="B88" s="7" t="s">
        <v>285</v>
      </c>
      <c r="C88" s="43" t="s">
        <v>290</v>
      </c>
      <c r="D88" s="39">
        <v>1</v>
      </c>
      <c r="E88" s="7" t="s">
        <v>149</v>
      </c>
      <c r="F88" s="49">
        <v>55000</v>
      </c>
      <c r="G88" s="29">
        <f>D88*F88</f>
        <v>55000</v>
      </c>
      <c r="H88" s="50">
        <f>G88*PARAMETERS!$B$57</f>
        <v>86350</v>
      </c>
      <c r="I88" s="7" t="s">
        <v>74</v>
      </c>
      <c r="J88" s="44" t="s">
        <v>291</v>
      </c>
    </row>
    <row r="89" spans="1:10" ht="15" customHeight="1" x14ac:dyDescent="0.25">
      <c r="A89" s="43">
        <v>60</v>
      </c>
      <c r="B89" s="7" t="s">
        <v>285</v>
      </c>
      <c r="C89" s="43" t="s">
        <v>292</v>
      </c>
      <c r="D89" s="39">
        <v>1</v>
      </c>
      <c r="E89" s="7" t="s">
        <v>149</v>
      </c>
      <c r="F89" s="49">
        <v>5000</v>
      </c>
      <c r="G89" s="29">
        <f>D89*F89</f>
        <v>5000</v>
      </c>
      <c r="H89" s="50">
        <f>G89*PARAMETERS!$B$57</f>
        <v>7850</v>
      </c>
      <c r="I89" s="7" t="s">
        <v>74</v>
      </c>
      <c r="J89" s="44" t="s">
        <v>293</v>
      </c>
    </row>
    <row r="90" spans="1:10" ht="15.75" customHeight="1" x14ac:dyDescent="0.25">
      <c r="A90" s="45" t="s">
        <v>294</v>
      </c>
      <c r="B90" s="45"/>
      <c r="C90" s="45"/>
      <c r="D90" s="45"/>
      <c r="E90" s="45"/>
      <c r="F90" s="45"/>
      <c r="G90" s="51">
        <f>SUM(G86:G89)</f>
        <v>174000</v>
      </c>
      <c r="H90" s="51">
        <f>SUM(H86:H89)</f>
        <v>273180</v>
      </c>
      <c r="I90" s="52"/>
      <c r="J90" s="46"/>
    </row>
    <row r="91" spans="1:10" ht="15.75" customHeight="1" x14ac:dyDescent="0.25">
      <c r="A91" s="42" t="s">
        <v>295</v>
      </c>
      <c r="B91" s="42"/>
      <c r="C91" s="42"/>
      <c r="D91" s="42"/>
      <c r="E91" s="42"/>
      <c r="F91" s="42"/>
      <c r="G91" s="42"/>
      <c r="H91" s="42"/>
      <c r="I91" s="42"/>
      <c r="J91" s="42"/>
    </row>
    <row r="92" spans="1:10" ht="23.25" customHeight="1" x14ac:dyDescent="0.25">
      <c r="A92" s="43">
        <v>61</v>
      </c>
      <c r="B92" s="7" t="s">
        <v>296</v>
      </c>
      <c r="C92" s="43" t="s">
        <v>297</v>
      </c>
      <c r="D92" s="39">
        <v>1</v>
      </c>
      <c r="E92" s="7" t="s">
        <v>149</v>
      </c>
      <c r="F92" s="49">
        <v>15000</v>
      </c>
      <c r="G92" s="29">
        <f>D92*F92</f>
        <v>15000</v>
      </c>
      <c r="H92" s="50">
        <f>G92*PARAMETERS!$B$57</f>
        <v>23550</v>
      </c>
      <c r="I92" s="7" t="s">
        <v>53</v>
      </c>
      <c r="J92" s="44" t="s">
        <v>298</v>
      </c>
    </row>
    <row r="93" spans="1:10" ht="15" customHeight="1" x14ac:dyDescent="0.25">
      <c r="A93" s="43">
        <v>62</v>
      </c>
      <c r="B93" s="7" t="s">
        <v>296</v>
      </c>
      <c r="C93" s="43" t="s">
        <v>299</v>
      </c>
      <c r="D93" s="39">
        <v>1</v>
      </c>
      <c r="E93" s="7" t="s">
        <v>127</v>
      </c>
      <c r="F93" s="49">
        <v>6000</v>
      </c>
      <c r="G93" s="29">
        <f>D93*F93</f>
        <v>6000</v>
      </c>
      <c r="H93" s="50">
        <f>G93*PARAMETERS!$B$57</f>
        <v>9420</v>
      </c>
      <c r="I93" s="7" t="s">
        <v>47</v>
      </c>
      <c r="J93" s="44" t="s">
        <v>300</v>
      </c>
    </row>
    <row r="94" spans="1:10" ht="15.75" customHeight="1" x14ac:dyDescent="0.25">
      <c r="A94" s="45" t="s">
        <v>301</v>
      </c>
      <c r="B94" s="45"/>
      <c r="C94" s="45"/>
      <c r="D94" s="45"/>
      <c r="E94" s="45"/>
      <c r="F94" s="45"/>
      <c r="G94" s="51">
        <f>SUM(G92:G93)</f>
        <v>21000</v>
      </c>
      <c r="H94" s="51">
        <f>SUM(H92:H93)</f>
        <v>32970</v>
      </c>
      <c r="I94" s="52"/>
      <c r="J94" s="46"/>
    </row>
    <row r="95" spans="1:10" ht="15.75" customHeight="1" x14ac:dyDescent="0.25">
      <c r="A95" s="42" t="s">
        <v>302</v>
      </c>
      <c r="B95" s="42"/>
      <c r="C95" s="42"/>
      <c r="D95" s="42"/>
      <c r="E95" s="42"/>
      <c r="F95" s="42"/>
      <c r="G95" s="42"/>
      <c r="H95" s="42"/>
      <c r="I95" s="42"/>
      <c r="J95" s="42"/>
    </row>
    <row r="96" spans="1:10" ht="59.25" customHeight="1" x14ac:dyDescent="0.25">
      <c r="A96" s="43">
        <v>65</v>
      </c>
      <c r="B96" s="7" t="s">
        <v>303</v>
      </c>
      <c r="C96" s="43" t="s">
        <v>304</v>
      </c>
      <c r="D96" s="39">
        <v>234</v>
      </c>
      <c r="E96" s="7" t="s">
        <v>163</v>
      </c>
      <c r="F96" s="49">
        <v>25</v>
      </c>
      <c r="G96" s="29">
        <f>D96*F96</f>
        <v>5850</v>
      </c>
      <c r="H96" s="50">
        <f>G96*PARAMETERS!$B$57</f>
        <v>9184.5</v>
      </c>
      <c r="I96" s="7" t="s">
        <v>68</v>
      </c>
      <c r="J96" s="44" t="s">
        <v>305</v>
      </c>
    </row>
    <row r="97" spans="1:10" ht="61.5" customHeight="1" x14ac:dyDescent="0.25">
      <c r="A97" s="43">
        <v>66</v>
      </c>
      <c r="B97" s="7" t="s">
        <v>303</v>
      </c>
      <c r="C97" s="43" t="s">
        <v>306</v>
      </c>
      <c r="D97" s="39">
        <v>385</v>
      </c>
      <c r="E97" s="7" t="s">
        <v>163</v>
      </c>
      <c r="F97" s="49">
        <v>25</v>
      </c>
      <c r="G97" s="29">
        <f>D97*F97</f>
        <v>9625</v>
      </c>
      <c r="H97" s="50">
        <f>G97*PARAMETERS!$B$57</f>
        <v>15111.25</v>
      </c>
      <c r="I97" s="7" t="s">
        <v>68</v>
      </c>
      <c r="J97" s="44" t="s">
        <v>307</v>
      </c>
    </row>
    <row r="98" spans="1:10" ht="54.75" customHeight="1" x14ac:dyDescent="0.25">
      <c r="A98" s="43">
        <v>67</v>
      </c>
      <c r="B98" s="7" t="s">
        <v>303</v>
      </c>
      <c r="C98" s="43" t="s">
        <v>308</v>
      </c>
      <c r="D98" s="39">
        <v>238</v>
      </c>
      <c r="E98" s="7" t="s">
        <v>163</v>
      </c>
      <c r="F98" s="49">
        <v>25</v>
      </c>
      <c r="G98" s="29">
        <f>D98*F98</f>
        <v>5950</v>
      </c>
      <c r="H98" s="50">
        <f>G98*PARAMETERS!$B$57</f>
        <v>9341.5</v>
      </c>
      <c r="I98" s="7" t="s">
        <v>68</v>
      </c>
      <c r="J98" s="44" t="s">
        <v>309</v>
      </c>
    </row>
    <row r="99" spans="1:10" ht="15.75" customHeight="1" x14ac:dyDescent="0.25">
      <c r="A99" s="45" t="s">
        <v>310</v>
      </c>
      <c r="B99" s="45"/>
      <c r="C99" s="45"/>
      <c r="D99" s="45"/>
      <c r="E99" s="45"/>
      <c r="F99" s="45"/>
      <c r="G99" s="51">
        <f>SUM(G96:G98)</f>
        <v>21425</v>
      </c>
      <c r="H99" s="51">
        <f>SUM(H96:H98)</f>
        <v>33637.25</v>
      </c>
      <c r="I99" s="52"/>
      <c r="J99" s="46"/>
    </row>
    <row r="100" spans="1:10" ht="15.75" customHeight="1" x14ac:dyDescent="0.25">
      <c r="A100" s="47" t="s">
        <v>311</v>
      </c>
      <c r="B100" s="47"/>
      <c r="C100" s="47"/>
      <c r="D100" s="47"/>
      <c r="E100" s="47"/>
      <c r="F100" s="47"/>
      <c r="G100" s="34">
        <f>G20+G25+G33+G39+G45+G70+G77+G84+G90+G94+G99</f>
        <v>2548659</v>
      </c>
      <c r="H100" s="34">
        <f>H20+H25+H33+H39+H45+H70+H77+H84+H90+H94+H99</f>
        <v>4001394.63</v>
      </c>
      <c r="I100" s="53"/>
      <c r="J100" s="48"/>
    </row>
  </sheetData>
  <mergeCells count="25">
    <mergeCell ref="A91:J91"/>
    <mergeCell ref="A94:F94"/>
    <mergeCell ref="A95:J95"/>
    <mergeCell ref="A99:F99"/>
    <mergeCell ref="A100:F100"/>
    <mergeCell ref="A77:F77"/>
    <mergeCell ref="A78:J78"/>
    <mergeCell ref="A84:F84"/>
    <mergeCell ref="A85:J85"/>
    <mergeCell ref="A90:F90"/>
    <mergeCell ref="A40:J40"/>
    <mergeCell ref="A45:F45"/>
    <mergeCell ref="A46:J46"/>
    <mergeCell ref="A70:F70"/>
    <mergeCell ref="A71:J71"/>
    <mergeCell ref="A25:F25"/>
    <mergeCell ref="A26:J26"/>
    <mergeCell ref="A33:F33"/>
    <mergeCell ref="A34:J34"/>
    <mergeCell ref="A39:F39"/>
    <mergeCell ref="A1:J1"/>
    <mergeCell ref="A2:J2"/>
    <mergeCell ref="A4:J4"/>
    <mergeCell ref="A20:F20"/>
    <mergeCell ref="A21:J21"/>
  </mergeCells>
  <pageMargins left="0.75" right="0.75" top="1" bottom="1" header="0.511811023622047" footer="0.511811023622047"/>
  <pageSetup paperSize="9" orientation="portrait" horizontalDpi="300" verticalDpi="300"/>
  <headerFooter>
    <oddFooter>&amp;L_x000D_&amp;1#&amp;"Calibri"&amp;10&amp;K000000 DISTRIBUTION: DoW COMMUNITY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4A7A"/>
  </sheetPr>
  <dimension ref="A1:D64"/>
  <sheetViews>
    <sheetView zoomScaleNormal="100" workbookViewId="0">
      <pane ySplit="1" topLeftCell="A44" activePane="bottomLeft" state="frozen"/>
      <selection pane="bottomLeft" activeCell="A37" sqref="A37"/>
    </sheetView>
  </sheetViews>
  <sheetFormatPr defaultColWidth="8.7109375" defaultRowHeight="15" x14ac:dyDescent="0.25"/>
  <cols>
    <col min="1" max="1" width="52" style="37" customWidth="1"/>
    <col min="2" max="2" width="42.85546875" style="38" bestFit="1" customWidth="1"/>
    <col min="3" max="3" width="12" style="37" customWidth="1"/>
    <col min="4" max="4" width="82.5703125" style="37" customWidth="1"/>
    <col min="5" max="16384" width="8.7109375" style="37"/>
  </cols>
  <sheetData>
    <row r="1" spans="1:4" ht="19.5" customHeight="1" x14ac:dyDescent="0.25">
      <c r="A1" s="3" t="s">
        <v>312</v>
      </c>
      <c r="B1" s="3"/>
      <c r="C1" s="3"/>
      <c r="D1" s="3"/>
    </row>
    <row r="2" spans="1:4" ht="15.75" customHeight="1" x14ac:dyDescent="0.25">
      <c r="A2" s="2" t="s">
        <v>313</v>
      </c>
      <c r="B2" s="2"/>
      <c r="C2" s="2"/>
      <c r="D2" s="2"/>
    </row>
    <row r="3" spans="1:4" ht="15" customHeight="1" x14ac:dyDescent="0.25">
      <c r="A3" s="6" t="s">
        <v>314</v>
      </c>
      <c r="B3" s="6" t="s">
        <v>315</v>
      </c>
      <c r="C3" s="6" t="s">
        <v>118</v>
      </c>
      <c r="D3" s="6" t="s">
        <v>316</v>
      </c>
    </row>
    <row r="4" spans="1:4" ht="23.25" customHeight="1" x14ac:dyDescent="0.25">
      <c r="A4" s="23" t="s">
        <v>317</v>
      </c>
      <c r="B4" s="7" t="s">
        <v>318</v>
      </c>
      <c r="C4" s="7" t="s">
        <v>319</v>
      </c>
      <c r="D4" s="9" t="s">
        <v>320</v>
      </c>
    </row>
    <row r="5" spans="1:4" ht="23.25" customHeight="1" x14ac:dyDescent="0.25">
      <c r="A5" s="23" t="s">
        <v>321</v>
      </c>
      <c r="B5" s="7" t="s">
        <v>322</v>
      </c>
      <c r="C5" s="7" t="s">
        <v>319</v>
      </c>
      <c r="D5" s="9" t="s">
        <v>323</v>
      </c>
    </row>
    <row r="6" spans="1:4" ht="23.25" customHeight="1" x14ac:dyDescent="0.25">
      <c r="A6" s="23" t="s">
        <v>324</v>
      </c>
      <c r="B6" s="7" t="s">
        <v>325</v>
      </c>
      <c r="C6" s="7" t="s">
        <v>319</v>
      </c>
      <c r="D6" s="9" t="s">
        <v>326</v>
      </c>
    </row>
    <row r="7" spans="1:4" ht="15" customHeight="1" x14ac:dyDescent="0.25">
      <c r="A7" s="23" t="s">
        <v>327</v>
      </c>
      <c r="B7" s="54">
        <v>387356</v>
      </c>
      <c r="C7" s="7" t="s">
        <v>328</v>
      </c>
      <c r="D7" s="9" t="s">
        <v>329</v>
      </c>
    </row>
    <row r="8" spans="1:4" ht="15" customHeight="1" x14ac:dyDescent="0.25">
      <c r="A8" s="23" t="s">
        <v>330</v>
      </c>
      <c r="B8" s="7" t="s">
        <v>331</v>
      </c>
      <c r="C8" s="7" t="s">
        <v>328</v>
      </c>
      <c r="D8" s="9" t="s">
        <v>332</v>
      </c>
    </row>
    <row r="9" spans="1:4" ht="15" customHeight="1" x14ac:dyDescent="0.25">
      <c r="A9" s="23" t="s">
        <v>333</v>
      </c>
      <c r="B9" s="7" t="s">
        <v>334</v>
      </c>
      <c r="C9" s="7" t="s">
        <v>335</v>
      </c>
      <c r="D9" s="9" t="s">
        <v>336</v>
      </c>
    </row>
    <row r="10" spans="1:4" ht="15" customHeight="1" x14ac:dyDescent="0.25">
      <c r="A10" s="23" t="s">
        <v>337</v>
      </c>
      <c r="B10" s="7" t="s">
        <v>338</v>
      </c>
      <c r="C10" s="7" t="s">
        <v>339</v>
      </c>
      <c r="D10" s="9" t="s">
        <v>340</v>
      </c>
    </row>
    <row r="11" spans="1:4" ht="15" customHeight="1" x14ac:dyDescent="0.25">
      <c r="A11" s="23" t="s">
        <v>341</v>
      </c>
      <c r="B11" s="7" t="s">
        <v>342</v>
      </c>
      <c r="C11" s="7" t="s">
        <v>343</v>
      </c>
      <c r="D11" s="9" t="s">
        <v>344</v>
      </c>
    </row>
    <row r="12" spans="1:4" ht="23.25" customHeight="1" x14ac:dyDescent="0.25">
      <c r="A12" s="23" t="s">
        <v>345</v>
      </c>
      <c r="B12" s="7" t="s">
        <v>346</v>
      </c>
      <c r="C12" s="7" t="s">
        <v>347</v>
      </c>
      <c r="D12" s="9" t="s">
        <v>348</v>
      </c>
    </row>
    <row r="13" spans="1:4" x14ac:dyDescent="0.25">
      <c r="A13" s="58"/>
      <c r="B13" s="59"/>
      <c r="C13" s="58"/>
      <c r="D13" s="58"/>
    </row>
    <row r="14" spans="1:4" ht="15.75" customHeight="1" x14ac:dyDescent="0.25">
      <c r="A14" s="2" t="s">
        <v>349</v>
      </c>
      <c r="B14" s="2"/>
      <c r="C14" s="2"/>
      <c r="D14" s="2"/>
    </row>
    <row r="15" spans="1:4" ht="15" customHeight="1" x14ac:dyDescent="0.25">
      <c r="A15" s="6" t="s">
        <v>314</v>
      </c>
      <c r="B15" s="6" t="s">
        <v>315</v>
      </c>
      <c r="C15" s="6" t="s">
        <v>118</v>
      </c>
      <c r="D15" s="6" t="s">
        <v>316</v>
      </c>
    </row>
    <row r="16" spans="1:4" ht="15" customHeight="1" x14ac:dyDescent="0.25">
      <c r="A16" s="23" t="s">
        <v>350</v>
      </c>
      <c r="B16" s="54">
        <v>2024</v>
      </c>
      <c r="C16" s="7" t="s">
        <v>351</v>
      </c>
      <c r="D16" s="9" t="s">
        <v>352</v>
      </c>
    </row>
    <row r="17" spans="1:4" ht="15" customHeight="1" x14ac:dyDescent="0.25">
      <c r="A17" s="23" t="s">
        <v>353</v>
      </c>
      <c r="B17" s="54">
        <v>2027</v>
      </c>
      <c r="C17" s="7" t="s">
        <v>351</v>
      </c>
      <c r="D17" s="9" t="s">
        <v>354</v>
      </c>
    </row>
    <row r="18" spans="1:4" ht="23.25" customHeight="1" x14ac:dyDescent="0.25">
      <c r="A18" s="23" t="s">
        <v>355</v>
      </c>
      <c r="B18" s="54">
        <v>1.85</v>
      </c>
      <c r="C18" s="7" t="s">
        <v>356</v>
      </c>
      <c r="D18" s="9" t="s">
        <v>357</v>
      </c>
    </row>
    <row r="19" spans="1:4" ht="23.25" customHeight="1" x14ac:dyDescent="0.25">
      <c r="A19" s="23" t="s">
        <v>358</v>
      </c>
      <c r="B19" s="54">
        <v>2.1000000000000001E-2</v>
      </c>
      <c r="C19" s="7" t="s">
        <v>359</v>
      </c>
      <c r="D19" s="9" t="s">
        <v>360</v>
      </c>
    </row>
    <row r="20" spans="1:4" ht="15" customHeight="1" x14ac:dyDescent="0.25">
      <c r="A20" s="23" t="s">
        <v>361</v>
      </c>
      <c r="B20" s="54">
        <v>3</v>
      </c>
      <c r="C20" s="7" t="s">
        <v>362</v>
      </c>
      <c r="D20" s="9" t="s">
        <v>363</v>
      </c>
    </row>
    <row r="21" spans="1:4" ht="15" customHeight="1" x14ac:dyDescent="0.25">
      <c r="A21" s="23" t="s">
        <v>364</v>
      </c>
      <c r="B21" s="55">
        <f>(1+B19)^B20</f>
        <v>1.0643322609999997</v>
      </c>
      <c r="C21" s="7" t="s">
        <v>365</v>
      </c>
      <c r="D21" s="9" t="s">
        <v>366</v>
      </c>
    </row>
    <row r="22" spans="1:4" ht="15" customHeight="1" x14ac:dyDescent="0.25">
      <c r="A22" s="23" t="s">
        <v>367</v>
      </c>
      <c r="B22" s="54">
        <v>0.1</v>
      </c>
      <c r="C22" s="7" t="s">
        <v>359</v>
      </c>
      <c r="D22" s="9" t="s">
        <v>368</v>
      </c>
    </row>
    <row r="23" spans="1:4" ht="15" customHeight="1" x14ac:dyDescent="0.25">
      <c r="A23" s="23" t="s">
        <v>369</v>
      </c>
      <c r="B23" s="54">
        <v>0.1</v>
      </c>
      <c r="C23" s="7" t="s">
        <v>359</v>
      </c>
      <c r="D23" s="9" t="s">
        <v>370</v>
      </c>
    </row>
    <row r="24" spans="1:4" ht="15" customHeight="1" x14ac:dyDescent="0.25">
      <c r="A24" s="23" t="s">
        <v>371</v>
      </c>
      <c r="B24" s="54">
        <v>2.5000000000000001E-2</v>
      </c>
      <c r="C24" s="7" t="s">
        <v>359</v>
      </c>
      <c r="D24" s="9" t="s">
        <v>372</v>
      </c>
    </row>
    <row r="25" spans="1:4" ht="15" customHeight="1" x14ac:dyDescent="0.25">
      <c r="A25" s="23" t="s">
        <v>373</v>
      </c>
      <c r="B25" s="54">
        <v>0.06</v>
      </c>
      <c r="C25" s="7" t="s">
        <v>359</v>
      </c>
      <c r="D25" s="9" t="s">
        <v>374</v>
      </c>
    </row>
    <row r="26" spans="1:4" ht="23.25" customHeight="1" x14ac:dyDescent="0.25">
      <c r="A26" s="23" t="s">
        <v>375</v>
      </c>
      <c r="B26" s="54">
        <v>0.08</v>
      </c>
      <c r="C26" s="7" t="s">
        <v>359</v>
      </c>
      <c r="D26" s="9" t="s">
        <v>376</v>
      </c>
    </row>
    <row r="27" spans="1:4" ht="15" customHeight="1" x14ac:dyDescent="0.25">
      <c r="A27" s="23" t="s">
        <v>377</v>
      </c>
      <c r="B27" s="54">
        <v>0.04</v>
      </c>
      <c r="C27" s="7" t="s">
        <v>359</v>
      </c>
      <c r="D27" s="9" t="s">
        <v>378</v>
      </c>
    </row>
    <row r="28" spans="1:4" ht="15" customHeight="1" x14ac:dyDescent="0.25">
      <c r="A28" s="23" t="s">
        <v>379</v>
      </c>
      <c r="B28" s="54">
        <v>0.04</v>
      </c>
      <c r="C28" s="7" t="s">
        <v>359</v>
      </c>
      <c r="D28" s="9" t="s">
        <v>380</v>
      </c>
    </row>
    <row r="29" spans="1:4" ht="23.25" customHeight="1" x14ac:dyDescent="0.25">
      <c r="A29" s="23" t="s">
        <v>381</v>
      </c>
      <c r="B29" s="54">
        <v>26488</v>
      </c>
      <c r="C29" s="7" t="s">
        <v>138</v>
      </c>
      <c r="D29" s="9" t="s">
        <v>382</v>
      </c>
    </row>
    <row r="30" spans="1:4" x14ac:dyDescent="0.25">
      <c r="A30" s="58"/>
      <c r="B30" s="59"/>
      <c r="C30" s="58"/>
      <c r="D30" s="58"/>
    </row>
    <row r="31" spans="1:4" ht="15.75" customHeight="1" x14ac:dyDescent="0.25">
      <c r="A31" s="2" t="s">
        <v>383</v>
      </c>
      <c r="B31" s="2"/>
      <c r="C31" s="2"/>
      <c r="D31" s="2"/>
    </row>
    <row r="32" spans="1:4" ht="15" customHeight="1" x14ac:dyDescent="0.25">
      <c r="A32" s="6" t="s">
        <v>314</v>
      </c>
      <c r="B32" s="6" t="s">
        <v>315</v>
      </c>
      <c r="C32" s="6" t="s">
        <v>118</v>
      </c>
      <c r="D32" s="6" t="s">
        <v>316</v>
      </c>
    </row>
    <row r="33" spans="1:4" ht="23.25" customHeight="1" x14ac:dyDescent="0.25">
      <c r="A33" s="23" t="s">
        <v>384</v>
      </c>
      <c r="B33" s="54">
        <v>84861</v>
      </c>
      <c r="C33" s="7" t="s">
        <v>138</v>
      </c>
      <c r="D33" s="9" t="s">
        <v>385</v>
      </c>
    </row>
    <row r="34" spans="1:4" ht="23.25" customHeight="1" x14ac:dyDescent="0.25">
      <c r="A34" s="23" t="s">
        <v>386</v>
      </c>
      <c r="B34" s="54">
        <v>148675</v>
      </c>
      <c r="C34" s="7" t="s">
        <v>328</v>
      </c>
      <c r="D34" s="9" t="s">
        <v>387</v>
      </c>
    </row>
    <row r="35" spans="1:4" x14ac:dyDescent="0.25">
      <c r="A35" s="58"/>
      <c r="B35" s="59"/>
      <c r="C35" s="58"/>
      <c r="D35" s="58"/>
    </row>
    <row r="36" spans="1:4" ht="29.25" customHeight="1" x14ac:dyDescent="0.25">
      <c r="A36" s="23" t="s">
        <v>388</v>
      </c>
      <c r="B36" s="54">
        <v>66151</v>
      </c>
      <c r="C36" s="7" t="s">
        <v>138</v>
      </c>
      <c r="D36" s="9" t="s">
        <v>389</v>
      </c>
    </row>
    <row r="37" spans="1:4" x14ac:dyDescent="0.25">
      <c r="A37" s="23" t="s">
        <v>390</v>
      </c>
      <c r="B37" s="54">
        <v>480</v>
      </c>
      <c r="C37" s="7" t="s">
        <v>391</v>
      </c>
      <c r="D37" s="9" t="s">
        <v>392</v>
      </c>
    </row>
    <row r="38" spans="1:4" x14ac:dyDescent="0.25">
      <c r="A38" s="23" t="s">
        <v>393</v>
      </c>
      <c r="B38" s="56">
        <f>B36*B37</f>
        <v>31752480</v>
      </c>
      <c r="C38" s="7" t="s">
        <v>394</v>
      </c>
      <c r="D38" s="9" t="s">
        <v>395</v>
      </c>
    </row>
    <row r="39" spans="1:4" x14ac:dyDescent="0.25">
      <c r="A39" s="23" t="s">
        <v>396</v>
      </c>
      <c r="B39" s="54">
        <v>8802</v>
      </c>
      <c r="C39" s="7" t="s">
        <v>138</v>
      </c>
      <c r="D39" s="9" t="s">
        <v>397</v>
      </c>
    </row>
    <row r="40" spans="1:4" ht="23.25" customHeight="1" x14ac:dyDescent="0.25">
      <c r="A40" s="23" t="s">
        <v>398</v>
      </c>
      <c r="B40" s="54">
        <v>692</v>
      </c>
      <c r="C40" s="7" t="s">
        <v>391</v>
      </c>
      <c r="D40" s="9" t="s">
        <v>392</v>
      </c>
    </row>
    <row r="41" spans="1:4" x14ac:dyDescent="0.25">
      <c r="A41" s="23" t="s">
        <v>399</v>
      </c>
      <c r="B41" s="56">
        <f>B39*B40</f>
        <v>6090984</v>
      </c>
      <c r="C41" s="7" t="s">
        <v>394</v>
      </c>
      <c r="D41" s="9" t="s">
        <v>400</v>
      </c>
    </row>
    <row r="42" spans="1:4" ht="23.25" customHeight="1" x14ac:dyDescent="0.25">
      <c r="A42" s="23" t="s">
        <v>401</v>
      </c>
      <c r="B42" s="54">
        <v>2766</v>
      </c>
      <c r="C42" s="7" t="s">
        <v>138</v>
      </c>
      <c r="D42" s="9" t="s">
        <v>402</v>
      </c>
    </row>
    <row r="43" spans="1:4" ht="23.25" customHeight="1" x14ac:dyDescent="0.25">
      <c r="A43" s="23" t="s">
        <v>403</v>
      </c>
      <c r="B43" s="54">
        <v>473</v>
      </c>
      <c r="C43" s="7" t="s">
        <v>391</v>
      </c>
      <c r="D43" s="9" t="s">
        <v>392</v>
      </c>
    </row>
    <row r="44" spans="1:4" ht="15" customHeight="1" x14ac:dyDescent="0.25">
      <c r="A44" s="23" t="s">
        <v>404</v>
      </c>
      <c r="B44" s="56">
        <f>B42*B43</f>
        <v>1308318</v>
      </c>
      <c r="C44" s="7" t="s">
        <v>394</v>
      </c>
      <c r="D44" s="9" t="s">
        <v>405</v>
      </c>
    </row>
    <row r="45" spans="1:4" ht="23.25" customHeight="1" x14ac:dyDescent="0.25">
      <c r="A45" s="23" t="s">
        <v>406</v>
      </c>
      <c r="B45" s="54">
        <v>7142</v>
      </c>
      <c r="C45" s="7" t="s">
        <v>138</v>
      </c>
      <c r="D45" s="9" t="s">
        <v>407</v>
      </c>
    </row>
    <row r="46" spans="1:4" ht="23.25" customHeight="1" x14ac:dyDescent="0.25">
      <c r="A46" s="23" t="s">
        <v>408</v>
      </c>
      <c r="B46" s="54">
        <v>428.28</v>
      </c>
      <c r="C46" s="7" t="s">
        <v>391</v>
      </c>
      <c r="D46" s="9" t="s">
        <v>392</v>
      </c>
    </row>
    <row r="47" spans="1:4" ht="15" customHeight="1" x14ac:dyDescent="0.25">
      <c r="A47" s="23" t="s">
        <v>409</v>
      </c>
      <c r="B47" s="56">
        <f>B45*B46</f>
        <v>3058775.76</v>
      </c>
      <c r="C47" s="7" t="s">
        <v>394</v>
      </c>
      <c r="D47" s="9" t="s">
        <v>410</v>
      </c>
    </row>
    <row r="48" spans="1:4" ht="23.25" customHeight="1" x14ac:dyDescent="0.25">
      <c r="A48" s="23" t="s">
        <v>411</v>
      </c>
      <c r="B48" s="54">
        <v>1</v>
      </c>
      <c r="C48" s="7" t="s">
        <v>365</v>
      </c>
      <c r="D48" s="9" t="s">
        <v>412</v>
      </c>
    </row>
    <row r="49" spans="1:4" ht="15" customHeight="1" x14ac:dyDescent="0.25">
      <c r="A49" s="23" t="s">
        <v>413</v>
      </c>
      <c r="B49" s="54">
        <v>1.0900000000000001</v>
      </c>
      <c r="C49" s="7" t="s">
        <v>365</v>
      </c>
      <c r="D49" s="9" t="s">
        <v>414</v>
      </c>
    </row>
    <row r="50" spans="1:4" ht="23.25" customHeight="1" x14ac:dyDescent="0.25">
      <c r="A50" s="23" t="s">
        <v>415</v>
      </c>
      <c r="B50" s="54">
        <v>1.08</v>
      </c>
      <c r="C50" s="7" t="s">
        <v>365</v>
      </c>
      <c r="D50" s="9" t="s">
        <v>416</v>
      </c>
    </row>
    <row r="51" spans="1:4" ht="15" customHeight="1" x14ac:dyDescent="0.25">
      <c r="A51" s="23" t="s">
        <v>417</v>
      </c>
      <c r="B51" s="54">
        <v>1.05</v>
      </c>
      <c r="C51" s="7" t="s">
        <v>365</v>
      </c>
      <c r="D51" s="9" t="s">
        <v>418</v>
      </c>
    </row>
    <row r="52" spans="1:4" ht="23.25" customHeight="1" x14ac:dyDescent="0.25">
      <c r="A52" s="23" t="s">
        <v>419</v>
      </c>
      <c r="B52" s="56">
        <f>B48*B49*B50*B51</f>
        <v>1.2360600000000004</v>
      </c>
      <c r="C52" s="7" t="s">
        <v>365</v>
      </c>
      <c r="D52" s="9" t="s">
        <v>420</v>
      </c>
    </row>
    <row r="53" spans="1:4" ht="23.25" customHeight="1" x14ac:dyDescent="0.25">
      <c r="A53" s="23" t="s">
        <v>421</v>
      </c>
      <c r="B53" s="56">
        <f>(B38+B41+B44+B47)*B18*B52</f>
        <v>96523346.745927393</v>
      </c>
      <c r="C53" s="7" t="s">
        <v>394</v>
      </c>
      <c r="D53" s="9" t="s">
        <v>422</v>
      </c>
    </row>
    <row r="54" spans="1:4" ht="23.25" customHeight="1" x14ac:dyDescent="0.25">
      <c r="A54" s="23" t="s">
        <v>423</v>
      </c>
      <c r="B54" s="56">
        <f>ROUND(B53*B24,0)</f>
        <v>2413084</v>
      </c>
      <c r="C54" s="7" t="s">
        <v>394</v>
      </c>
      <c r="D54" s="9" t="s">
        <v>424</v>
      </c>
    </row>
    <row r="55" spans="1:4" x14ac:dyDescent="0.25">
      <c r="A55" s="58"/>
      <c r="B55" s="59"/>
      <c r="C55" s="58"/>
      <c r="D55" s="58"/>
    </row>
    <row r="56" spans="1:4" ht="15.75" customHeight="1" x14ac:dyDescent="0.25">
      <c r="A56" s="2" t="s">
        <v>425</v>
      </c>
      <c r="B56" s="2"/>
      <c r="C56" s="2"/>
      <c r="D56" s="2"/>
    </row>
    <row r="57" spans="1:4" ht="23.25" customHeight="1" x14ac:dyDescent="0.25">
      <c r="A57" s="24" t="s">
        <v>426</v>
      </c>
      <c r="B57" s="57">
        <v>1.57</v>
      </c>
      <c r="C57" s="25" t="s">
        <v>427</v>
      </c>
      <c r="D57" s="26" t="s">
        <v>428</v>
      </c>
    </row>
    <row r="58" spans="1:4" x14ac:dyDescent="0.25">
      <c r="A58" s="58"/>
      <c r="B58" s="59"/>
      <c r="C58" s="58"/>
      <c r="D58" s="58"/>
    </row>
    <row r="59" spans="1:4" ht="15.75" customHeight="1" x14ac:dyDescent="0.25">
      <c r="A59" s="2" t="s">
        <v>429</v>
      </c>
      <c r="B59" s="2"/>
      <c r="C59" s="2"/>
      <c r="D59" s="2"/>
    </row>
    <row r="60" spans="1:4" ht="19.5" customHeight="1" x14ac:dyDescent="0.25">
      <c r="A60" s="60" t="s">
        <v>430</v>
      </c>
      <c r="B60" s="60"/>
      <c r="C60" s="60"/>
      <c r="D60" s="60"/>
    </row>
    <row r="61" spans="1:4" ht="19.5" customHeight="1" x14ac:dyDescent="0.25">
      <c r="A61" s="60" t="s">
        <v>431</v>
      </c>
      <c r="B61" s="60"/>
      <c r="C61" s="60"/>
      <c r="D61" s="60"/>
    </row>
    <row r="62" spans="1:4" ht="19.5" customHeight="1" x14ac:dyDescent="0.25">
      <c r="A62" s="60" t="s">
        <v>432</v>
      </c>
      <c r="B62" s="60"/>
      <c r="C62" s="60"/>
      <c r="D62" s="60"/>
    </row>
    <row r="63" spans="1:4" ht="19.5" customHeight="1" x14ac:dyDescent="0.25">
      <c r="A63" s="60" t="s">
        <v>433</v>
      </c>
      <c r="B63" s="60"/>
      <c r="C63" s="60"/>
      <c r="D63" s="60"/>
    </row>
    <row r="64" spans="1:4" ht="19.5" customHeight="1" x14ac:dyDescent="0.25">
      <c r="A64" s="60" t="s">
        <v>434</v>
      </c>
      <c r="B64" s="60"/>
      <c r="C64" s="60"/>
      <c r="D64" s="60"/>
    </row>
  </sheetData>
  <mergeCells count="11">
    <mergeCell ref="A64:D64"/>
    <mergeCell ref="A59:D59"/>
    <mergeCell ref="A60:D60"/>
    <mergeCell ref="A61:D61"/>
    <mergeCell ref="A62:D62"/>
    <mergeCell ref="A63:D63"/>
    <mergeCell ref="A1:D1"/>
    <mergeCell ref="A2:D2"/>
    <mergeCell ref="A14:D14"/>
    <mergeCell ref="A31:D31"/>
    <mergeCell ref="A56:D56"/>
  </mergeCells>
  <pageMargins left="0.75" right="0.75" top="1" bottom="1" header="0.511811023622047" footer="0.511811023622047"/>
  <pageSetup paperSize="9" orientation="portrait" horizontalDpi="300" verticalDpi="300"/>
  <headerFooter>
    <oddFooter>&amp;L_x000D_&amp;1#&amp;"Calibri"&amp;10&amp;K000000 DISTRIBUTION: DoW COMMUNITY ONLY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E79"/>
  </sheetPr>
  <dimension ref="A1:C38"/>
  <sheetViews>
    <sheetView zoomScaleNormal="100" workbookViewId="0">
      <pane ySplit="1" topLeftCell="A13" activePane="bottomLeft" state="frozen"/>
      <selection pane="bottomLeft" activeCell="C7" sqref="C7"/>
    </sheetView>
  </sheetViews>
  <sheetFormatPr defaultColWidth="8.7109375" defaultRowHeight="15" x14ac:dyDescent="0.25"/>
  <cols>
    <col min="1" max="1" width="69.5703125" style="4" bestFit="1" customWidth="1"/>
    <col min="2" max="2" width="18" style="32" customWidth="1"/>
    <col min="3" max="3" width="85.7109375" style="4" bestFit="1" customWidth="1"/>
  </cols>
  <sheetData>
    <row r="1" spans="1:3" ht="19.5" customHeight="1" x14ac:dyDescent="0.25">
      <c r="A1" s="3" t="s">
        <v>312</v>
      </c>
      <c r="B1" s="3"/>
      <c r="C1" s="3"/>
    </row>
    <row r="2" spans="1:3" ht="13.5" customHeight="1" x14ac:dyDescent="0.25">
      <c r="A2" s="1" t="s">
        <v>435</v>
      </c>
      <c r="B2" s="1"/>
      <c r="C2" s="1"/>
    </row>
    <row r="3" spans="1:3" ht="15" customHeight="1" x14ac:dyDescent="0.25">
      <c r="A3" s="6" t="s">
        <v>436</v>
      </c>
      <c r="B3" s="6" t="s">
        <v>437</v>
      </c>
      <c r="C3" s="6" t="s">
        <v>81</v>
      </c>
    </row>
    <row r="4" spans="1:3" ht="23.25" customHeight="1" x14ac:dyDescent="0.25">
      <c r="A4" s="8" t="s">
        <v>483</v>
      </c>
      <c r="B4" s="61">
        <f>SUMIF(SCOPE_DETAIL!$I$5:$I$99,"B20",SCOPE_DETAIL!$G$5:$G$99)*PARAMETERS!$B$18*PARAMETERS!$B$21*(1+PARAMETERS!$B$22)/1000</f>
        <v>267.49064466517245</v>
      </c>
      <c r="C4" s="9" t="s">
        <v>438</v>
      </c>
    </row>
    <row r="5" spans="1:3" ht="23.25" customHeight="1" x14ac:dyDescent="0.25">
      <c r="A5" s="8" t="s">
        <v>484</v>
      </c>
      <c r="B5" s="61">
        <f>SUMIF(SCOPE_DETAIL!$I$5:$I$99,"C10",SCOPE_DETAIL!$G$5:$G$99)*PARAMETERS!$B$18*PARAMETERS!$B$21*(1+PARAMETERS!$B$22)/1000</f>
        <v>400.68799021152148</v>
      </c>
      <c r="C5" s="9" t="s">
        <v>439</v>
      </c>
    </row>
    <row r="6" spans="1:3" ht="23.25" customHeight="1" x14ac:dyDescent="0.25">
      <c r="A6" s="8" t="s">
        <v>485</v>
      </c>
      <c r="B6" s="61">
        <f>SUMIF(SCOPE_DETAIL!$I$5:$I$99,"C30",SCOPE_DETAIL!$G$5:$G$99)*PARAMETERS!$B$18*PARAMETERS!$B$21*(1+PARAMETERS!$B$22)/1000</f>
        <v>190.04398084903829</v>
      </c>
      <c r="C6" s="9" t="s">
        <v>440</v>
      </c>
    </row>
    <row r="7" spans="1:3" ht="23.25" customHeight="1" x14ac:dyDescent="0.25">
      <c r="A7" s="8" t="s">
        <v>486</v>
      </c>
      <c r="B7" s="61">
        <f>SUMIF(SCOPE_DETAIL!$I$5:$I$99,"D20",SCOPE_DETAIL!$G$5:$G$99)*PARAMETERS!$B$18*PARAMETERS!$B$21*(1+PARAMETERS!$B$22)/1000</f>
        <v>194.93245360214996</v>
      </c>
      <c r="C7" s="9" t="s">
        <v>441</v>
      </c>
    </row>
    <row r="8" spans="1:3" ht="23.25" customHeight="1" x14ac:dyDescent="0.25">
      <c r="A8" s="8" t="s">
        <v>487</v>
      </c>
      <c r="B8" s="61">
        <f>SUMIF(SCOPE_DETAIL!$I$5:$I$99,"D30",SCOPE_DETAIL!$G$5:$G$99)*PARAMETERS!$B$18*PARAMETERS!$B$21*(1+PARAMETERS!$B$22)/1000</f>
        <v>1674.2531848273545</v>
      </c>
      <c r="C8" s="9" t="s">
        <v>442</v>
      </c>
    </row>
    <row r="9" spans="1:3" ht="15" customHeight="1" x14ac:dyDescent="0.25">
      <c r="A9" s="8" t="s">
        <v>488</v>
      </c>
      <c r="B9" s="61">
        <f>SUMIF(SCOPE_DETAIL!$I$5:$I$99,"D40",SCOPE_DETAIL!$G$5:$G$99)*PARAMETERS!$B$18*PARAMETERS!$B$21*(1+PARAMETERS!$B$22)/1000</f>
        <v>21.659161511349993</v>
      </c>
      <c r="C9" s="9" t="s">
        <v>443</v>
      </c>
    </row>
    <row r="10" spans="1:3" ht="23.25" customHeight="1" x14ac:dyDescent="0.25">
      <c r="A10" s="8" t="s">
        <v>489</v>
      </c>
      <c r="B10" s="61">
        <f>SUMIF(SCOPE_DETAIL!$I$5:$I$99,"D50",SCOPE_DETAIL!$G$5:$G$99)*PARAMETERS!$B$18*PARAMETERS!$B$21*(1+PARAMETERS!$B$22)/1000</f>
        <v>1801.1758712838657</v>
      </c>
      <c r="C10" s="9" t="s">
        <v>444</v>
      </c>
    </row>
    <row r="11" spans="1:3" ht="15" customHeight="1" x14ac:dyDescent="0.25">
      <c r="A11" s="8" t="s">
        <v>490</v>
      </c>
      <c r="B11" s="61">
        <f>SUMIF(SCOPE_DETAIL!$I$5:$I$99,"E20",SCOPE_DETAIL!$G$5:$G$99)*PARAMETERS!$B$18*PARAMETERS!$B$21*(1+PARAMETERS!$B$22)/1000</f>
        <v>14.295046597490996</v>
      </c>
      <c r="C11" s="9" t="s">
        <v>445</v>
      </c>
    </row>
    <row r="12" spans="1:3" ht="23.25" customHeight="1" x14ac:dyDescent="0.25">
      <c r="A12" s="8" t="s">
        <v>491</v>
      </c>
      <c r="B12" s="61">
        <f>SUMIF(SCOPE_DETAIL!$I$5:$I$99,"F20",SCOPE_DETAIL!$G$5:$G$99)*PARAMETERS!$B$18*PARAMETERS!$B$21*(1+PARAMETERS!$B$22)/1000</f>
        <v>432.09810623528125</v>
      </c>
      <c r="C12" s="9" t="s">
        <v>446</v>
      </c>
    </row>
    <row r="13" spans="1:3" ht="23.25" customHeight="1" x14ac:dyDescent="0.25">
      <c r="A13" s="8" t="s">
        <v>492</v>
      </c>
      <c r="B13" s="61">
        <f>SUMIF(SCOPE_DETAIL!$I$5:$I$99,"G10",SCOPE_DETAIL!$G$5:$G$99)*PARAMETERS!$B$18*PARAMETERS!$B$21*(1+PARAMETERS!$B$22)/1000</f>
        <v>19.493245360214996</v>
      </c>
      <c r="C13" s="9" t="s">
        <v>447</v>
      </c>
    </row>
    <row r="14" spans="1:3" ht="23.25" customHeight="1" x14ac:dyDescent="0.25">
      <c r="A14" s="8" t="s">
        <v>493</v>
      </c>
      <c r="B14" s="61">
        <f>SUMIF(SCOPE_DETAIL!$I$5:$I$99,"G20",SCOPE_DETAIL!$G$5:$G$99)*PARAMETERS!$B$18*PARAMETERS!$B$21*(1+PARAMETERS!$B$22)/1000</f>
        <v>504.05200669213713</v>
      </c>
      <c r="C14" s="9" t="s">
        <v>448</v>
      </c>
    </row>
    <row r="15" spans="1:3" ht="15" customHeight="1" x14ac:dyDescent="0.25">
      <c r="A15" s="20" t="s">
        <v>449</v>
      </c>
      <c r="B15" s="62">
        <f>SUM(B4:B14)</f>
        <v>5520.1816918355762</v>
      </c>
      <c r="C15" s="21" t="s">
        <v>494</v>
      </c>
    </row>
    <row r="16" spans="1:3" ht="23.25" customHeight="1" x14ac:dyDescent="0.25">
      <c r="A16" s="8" t="s">
        <v>495</v>
      </c>
      <c r="B16" s="63">
        <f>B15*PARAMETERS!B23</f>
        <v>552.01816918355769</v>
      </c>
      <c r="C16" s="9" t="s">
        <v>450</v>
      </c>
    </row>
    <row r="17" spans="1:3" ht="23.25" customHeight="1" x14ac:dyDescent="0.25">
      <c r="A17" s="8" t="s">
        <v>496</v>
      </c>
      <c r="B17" s="63">
        <f>PARAMETERS!B54/1000</f>
        <v>2413.0839999999998</v>
      </c>
      <c r="C17" s="9" t="s">
        <v>451</v>
      </c>
    </row>
    <row r="18" spans="1:3" ht="15" customHeight="1" x14ac:dyDescent="0.25">
      <c r="A18" s="8" t="s">
        <v>497</v>
      </c>
      <c r="B18" s="63">
        <f>ESTIMATE!C14/1000</f>
        <v>509.11703999999997</v>
      </c>
      <c r="C18" s="9" t="s">
        <v>452</v>
      </c>
    </row>
    <row r="19" spans="1:3" ht="23.25" customHeight="1" x14ac:dyDescent="0.25">
      <c r="A19" s="8" t="s">
        <v>498</v>
      </c>
      <c r="B19" s="63">
        <f>ESTIMATE!C15/1000</f>
        <v>678.82272</v>
      </c>
      <c r="C19" s="9" t="s">
        <v>453</v>
      </c>
    </row>
    <row r="20" spans="1:3" ht="15" customHeight="1" x14ac:dyDescent="0.25">
      <c r="A20" s="8" t="s">
        <v>26</v>
      </c>
      <c r="B20" s="63">
        <f>ESTIMATE!C16/1000</f>
        <v>339.41136</v>
      </c>
      <c r="C20" s="9" t="s">
        <v>454</v>
      </c>
    </row>
    <row r="21" spans="1:3" ht="15" customHeight="1" x14ac:dyDescent="0.25">
      <c r="A21" s="17" t="s">
        <v>28</v>
      </c>
      <c r="B21" s="64">
        <f>ESTIMATE!C18/1000</f>
        <v>10012.635</v>
      </c>
      <c r="C21" s="18" t="s">
        <v>455</v>
      </c>
    </row>
    <row r="22" spans="1:3" ht="6" customHeight="1" x14ac:dyDescent="0.25"/>
    <row r="23" spans="1:3" ht="15.75" customHeight="1" x14ac:dyDescent="0.25">
      <c r="A23" s="2" t="s">
        <v>456</v>
      </c>
      <c r="B23" s="2"/>
      <c r="C23" s="2"/>
    </row>
    <row r="24" spans="1:3" ht="15" customHeight="1" x14ac:dyDescent="0.25">
      <c r="A24" s="8" t="s">
        <v>457</v>
      </c>
      <c r="B24" s="61">
        <f>B21</f>
        <v>10012.635</v>
      </c>
      <c r="C24" s="9" t="s">
        <v>458</v>
      </c>
    </row>
    <row r="25" spans="1:3" ht="15" customHeight="1" x14ac:dyDescent="0.25">
      <c r="A25" s="8" t="s">
        <v>459</v>
      </c>
      <c r="B25" s="61">
        <f>B21</f>
        <v>10012.635</v>
      </c>
      <c r="C25" s="9" t="s">
        <v>460</v>
      </c>
    </row>
    <row r="26" spans="1:3" ht="23.25" customHeight="1" x14ac:dyDescent="0.25">
      <c r="A26" s="8" t="s">
        <v>499</v>
      </c>
      <c r="B26" s="63">
        <f>ESTIMATE!C19/1000</f>
        <v>400.50540000000001</v>
      </c>
      <c r="C26" s="9" t="s">
        <v>461</v>
      </c>
    </row>
    <row r="27" spans="1:3" ht="15" customHeight="1" x14ac:dyDescent="0.25">
      <c r="A27" s="20" t="s">
        <v>31</v>
      </c>
      <c r="B27" s="65">
        <f>ESTIMATE!C20/1000</f>
        <v>10413.1404</v>
      </c>
      <c r="C27" s="21" t="s">
        <v>462</v>
      </c>
    </row>
    <row r="28" spans="1:3" ht="6" customHeight="1" x14ac:dyDescent="0.25"/>
    <row r="29" spans="1:3" ht="15.75" customHeight="1" x14ac:dyDescent="0.25">
      <c r="A29" s="2" t="s">
        <v>463</v>
      </c>
      <c r="B29" s="2"/>
      <c r="C29" s="2"/>
    </row>
    <row r="30" spans="1:3" x14ac:dyDescent="0.25">
      <c r="A30" s="8" t="s">
        <v>464</v>
      </c>
      <c r="B30" s="7"/>
      <c r="C30" s="9" t="s">
        <v>500</v>
      </c>
    </row>
    <row r="31" spans="1:3" x14ac:dyDescent="0.25">
      <c r="A31" s="8" t="s">
        <v>465</v>
      </c>
      <c r="B31" s="7"/>
      <c r="C31" s="9" t="s">
        <v>466</v>
      </c>
    </row>
    <row r="32" spans="1:3" ht="15" customHeight="1" x14ac:dyDescent="0.25">
      <c r="A32" s="8" t="s">
        <v>467</v>
      </c>
      <c r="B32" s="7"/>
      <c r="C32" s="9" t="s">
        <v>468</v>
      </c>
    </row>
    <row r="33" spans="1:3" ht="15" customHeight="1" x14ac:dyDescent="0.25">
      <c r="A33" s="8" t="s">
        <v>469</v>
      </c>
      <c r="B33" s="7"/>
      <c r="C33" s="9" t="s">
        <v>470</v>
      </c>
    </row>
    <row r="34" spans="1:3" ht="15" customHeight="1" x14ac:dyDescent="0.25">
      <c r="A34" s="8" t="s">
        <v>471</v>
      </c>
      <c r="B34" s="7"/>
      <c r="C34" s="9" t="s">
        <v>472</v>
      </c>
    </row>
    <row r="35" spans="1:3" ht="15" customHeight="1" x14ac:dyDescent="0.25">
      <c r="A35" s="8" t="s">
        <v>473</v>
      </c>
      <c r="B35" s="7"/>
      <c r="C35" s="9" t="s">
        <v>474</v>
      </c>
    </row>
    <row r="36" spans="1:3" ht="15" customHeight="1" x14ac:dyDescent="0.25">
      <c r="A36" s="8" t="s">
        <v>475</v>
      </c>
      <c r="B36" s="7"/>
      <c r="C36" s="9" t="s">
        <v>476</v>
      </c>
    </row>
    <row r="37" spans="1:3" x14ac:dyDescent="0.25">
      <c r="A37" s="8" t="s">
        <v>477</v>
      </c>
      <c r="B37" s="7"/>
      <c r="C37" s="9" t="s">
        <v>478</v>
      </c>
    </row>
    <row r="38" spans="1:3" ht="15" customHeight="1" x14ac:dyDescent="0.25">
      <c r="A38" s="8" t="s">
        <v>479</v>
      </c>
      <c r="B38" s="7"/>
      <c r="C38" s="9" t="s">
        <v>346</v>
      </c>
    </row>
  </sheetData>
  <mergeCells count="4">
    <mergeCell ref="A1:C1"/>
    <mergeCell ref="A2:C2"/>
    <mergeCell ref="A23:C23"/>
    <mergeCell ref="A29:C29"/>
  </mergeCells>
  <pageMargins left="0.75" right="0.75" top="1" bottom="1" header="0.511811023622047" footer="0.511811023622047"/>
  <pageSetup paperSize="9" orientation="portrait" horizontalDpi="300" verticalDpi="300"/>
  <headerFooter>
    <oddFooter>&amp;L_x000D_&amp;1#&amp;"Calibri"&amp;10&amp;K000000 DISTRIBUTION: DoW COMMUNITY ONLY</oddFooter>
  </headerFooter>
</worksheet>
</file>

<file path=docMetadata/LabelInfo.xml><?xml version="1.0" encoding="utf-8"?>
<clbl:labelList xmlns:clbl="http://schemas.microsoft.com/office/2020/mipLabelMetadata">
  <clbl:label id="{89f80511-b267-4892-be9d-6cc8d3fffe7e}" enabled="1" method="Standard" siteId="{f4c44cda-18c6-46b0-80f2-e290072444f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ESTIMATE</vt:lpstr>
      <vt:lpstr>SCOPE_DETAIL</vt:lpstr>
      <vt:lpstr>PARAMETERS</vt:lpstr>
      <vt:lpstr>DD1391_BLOCK9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SCH-1024 ROM Level 3 CWE</dc:title>
  <dc:subject>SCH-1024 ROM Level 3 CWE</dc:subject>
  <dc:creator>Anthony L. Potter</dc:creator>
  <dc:description>SCH-1024 Armory Expansion &amp; 1st Floor Renovation | Camp Schwab (19 Mar 2026)</dc:description>
  <cp:lastModifiedBy>Potter CTR Anthony L</cp:lastModifiedBy>
  <cp:revision>0</cp:revision>
  <dcterms:created xsi:type="dcterms:W3CDTF">2026-03-19T04:27:04Z</dcterms:created>
  <dcterms:modified xsi:type="dcterms:W3CDTF">2026-03-19T05:30:36Z</dcterms:modified>
  <cp:category>MILCON, FSRM</cp:category>
  <dc:language>en-US</dc:language>
</cp:coreProperties>
</file>