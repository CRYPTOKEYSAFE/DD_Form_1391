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BLOCK9" sheetId="2" state="visible" r:id="rId2"/>
    <sheet name="BLOCK10" sheetId="3" state="visible" r:id="rId3"/>
    <sheet name="BACKUP" sheetId="4" state="visible" r:id="rId4"/>
    <sheet name="RATES" sheetId="5" state="visible" r:id="rId5"/>
    <sheet name="REFERENCES" sheetId="6" state="visible" r:id="rId6"/>
  </sheets>
  <definedNames/>
  <calcPr calcId="124519" fullCalcOnLoad="1"/>
</workbook>
</file>

<file path=xl/styles.xml><?xml version="1.0" encoding="utf-8"?>
<styleSheet xmlns="http://schemas.openxmlformats.org/spreadsheetml/2006/main">
  <numFmts count="7">
    <numFmt numFmtId="164" formatCode="&quot;$&quot;#,##0"/>
    <numFmt numFmtId="165" formatCode="0.00000"/>
    <numFmt numFmtId="166" formatCode="&quot;$&quot;#,##0.00"/>
    <numFmt numFmtId="167" formatCode="&quot;$&quot;#,##0;[Red]&quot;$&quot;-#,##0"/>
    <numFmt numFmtId="168" formatCode="#,##0;[Red]-#,##0"/>
    <numFmt numFmtId="169" formatCode="&quot;(&quot;#,##0&quot;)&quot;"/>
    <numFmt numFmtId="170" formatCode="0.0%"/>
  </numFmts>
  <fonts count="4">
    <font>
      <name val="Calibri"/>
      <family val="2"/>
      <color theme="1"/>
      <sz val="11"/>
      <scheme val="minor"/>
    </font>
    <font>
      <b val="1"/>
      <sz val="14"/>
    </font>
    <font>
      <b val="1"/>
    </font>
    <font>
      <b val="1"/>
      <sz val="12"/>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left style="thin"/>
      <right style="thin"/>
      <top style="thin"/>
      <bottom style="thin"/>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2" fillId="2" borderId="1" applyAlignment="1" pivotButton="0" quotePrefix="0" xfId="0">
      <alignment horizontal="center"/>
    </xf>
    <xf numFmtId="0" fontId="2" fillId="0" borderId="1" pivotButton="0" quotePrefix="0" xfId="0"/>
    <xf numFmtId="0" fontId="0" fillId="0" borderId="1" pivotButton="0" quotePrefix="0" xfId="0"/>
    <xf numFmtId="3" fontId="2" fillId="0" borderId="1" pivotButton="0" quotePrefix="0" xfId="0"/>
    <xf numFmtId="0" fontId="0" fillId="0" borderId="1" applyAlignment="1" pivotButton="0" quotePrefix="0" xfId="0">
      <alignment horizontal="center"/>
    </xf>
    <xf numFmtId="3" fontId="0" fillId="0" borderId="1" applyAlignment="1" pivotButton="0" quotePrefix="0" xfId="0">
      <alignment horizontal="right"/>
    </xf>
    <xf numFmtId="4" fontId="0" fillId="0" borderId="1" applyAlignment="1" pivotButton="0" quotePrefix="0" xfId="0">
      <alignment horizontal="right"/>
    </xf>
    <xf numFmtId="3" fontId="2" fillId="0" borderId="0" pivotButton="0" quotePrefix="0" xfId="0"/>
    <xf numFmtId="3" fontId="0" fillId="0" borderId="0" pivotButton="0" quotePrefix="0" xfId="0"/>
    <xf numFmtId="0" fontId="2" fillId="2" borderId="0" pivotButton="0" quotePrefix="0" xfId="0"/>
    <xf numFmtId="3" fontId="2" fillId="2" borderId="0" pivotButton="0" quotePrefix="0" xfId="0"/>
    <xf numFmtId="169" fontId="0" fillId="0" borderId="0" pivotButton="0" quotePrefix="0" xfId="0"/>
    <xf numFmtId="0" fontId="0" fillId="0" borderId="0" applyAlignment="1" pivotButton="0" quotePrefix="0" xfId="0">
      <alignment vertical="top" wrapText="1"/>
    </xf>
    <xf numFmtId="164" fontId="0" fillId="3" borderId="0" pivotButton="0" quotePrefix="0" xfId="0"/>
    <xf numFmtId="3" fontId="0" fillId="3" borderId="0" pivotButton="0" quotePrefix="0" xfId="0"/>
    <xf numFmtId="165" fontId="0" fillId="3" borderId="0" pivotButton="0" quotePrefix="0" xfId="0"/>
    <xf numFmtId="166" fontId="0" fillId="3" borderId="0" pivotButton="0" quotePrefix="0" xfId="0"/>
    <xf numFmtId="164" fontId="0" fillId="0" borderId="0" pivotButton="0" quotePrefix="0" xfId="0"/>
    <xf numFmtId="167" fontId="0" fillId="0" borderId="0" pivotButton="0" quotePrefix="0" xfId="0"/>
    <xf numFmtId="168" fontId="2"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8" customWidth="1" min="1" max="1"/>
    <col width="80" customWidth="1" min="2" max="2"/>
  </cols>
  <sheetData>
    <row r="1">
      <c r="A1" s="1" t="inlineStr">
        <is>
          <t>DD FORM 1391 COST ESTIMATE</t>
        </is>
      </c>
    </row>
    <row r="3">
      <c r="A3" s="2" t="inlineStr">
        <is>
          <t>Building</t>
        </is>
      </c>
      <c r="B3" t="inlineStr">
        <is>
          <t>SCH-3237</t>
        </is>
      </c>
    </row>
    <row r="4">
      <c r="A4" s="2" t="inlineStr">
        <is>
          <t>iNFADS Description</t>
        </is>
      </c>
      <c r="B4" t="inlineStr">
        <is>
          <t>WAREHOUSE/ARMORY</t>
        </is>
      </c>
    </row>
    <row r="5">
      <c r="A5" s="2" t="inlineStr">
        <is>
          <t>Primary CCN</t>
        </is>
      </c>
      <c r="B5" t="n">
        <v>44112</v>
      </c>
    </row>
    <row r="6">
      <c r="A6" s="2" t="inlineStr">
        <is>
          <t>RPUID</t>
        </is>
      </c>
      <c r="B6" t="n">
        <v>51473</v>
      </c>
    </row>
    <row r="7">
      <c r="A7" s="2" t="inlineStr">
        <is>
          <t>PAX ID</t>
        </is>
      </c>
      <c r="B7" t="n">
        <v>387622</v>
      </c>
    </row>
    <row r="8">
      <c r="A8" s="2" t="inlineStr">
        <is>
          <t>Fi Web Project Number</t>
        </is>
      </c>
      <c r="B8" t="inlineStr">
        <is>
          <t>BU26PPE73M</t>
        </is>
      </c>
    </row>
    <row r="9">
      <c r="A9" s="2" t="inlineStr">
        <is>
          <t>Installation/UIC</t>
        </is>
      </c>
      <c r="B9" t="inlineStr">
        <is>
          <t>M67400 (SH)</t>
        </is>
      </c>
    </row>
    <row r="10">
      <c r="A10" s="2" t="inlineStr">
        <is>
          <t>Location</t>
        </is>
      </c>
      <c r="B10" t="inlineStr">
        <is>
          <t>MARINE CORPS BASE, CAMP SMEDLEY BUTLER (CAMP SCHWAB-6009), HENOKO OKINAWA, JAPAN</t>
        </is>
      </c>
    </row>
    <row r="11">
      <c r="A11" s="2" t="inlineStr">
        <is>
          <t>Project Title</t>
        </is>
      </c>
      <c r="B11" t="inlineStr">
        <is>
          <t>Repair Bldg 3237, Warehouse Partition Multi-Unit Storage</t>
        </is>
      </c>
    </row>
    <row r="12">
      <c r="A12" s="2" t="inlineStr">
        <is>
          <t>Fund Type</t>
        </is>
      </c>
      <c r="B12" t="inlineStr">
        <is>
          <t>O&amp;MMC</t>
        </is>
      </c>
    </row>
    <row r="13">
      <c r="A13" s="2" t="inlineStr">
        <is>
          <t>Acquisition Method</t>
        </is>
      </c>
      <c r="B13" t="inlineStr">
        <is>
          <t>Design-Build (DB)</t>
        </is>
      </c>
    </row>
    <row r="14">
      <c r="A14" s="2" t="inlineStr">
        <is>
          <t>Total Building GSF (iNFADS)</t>
        </is>
      </c>
      <c r="B14" t="n">
        <v>30973</v>
      </c>
    </row>
    <row r="15">
      <c r="A15" s="2" t="inlineStr">
        <is>
          <t>PRV (iNFADS)</t>
        </is>
      </c>
      <c r="B15" t="n">
        <v>26636215</v>
      </c>
    </row>
    <row r="16">
      <c r="A16" s="2" t="inlineStr">
        <is>
          <t>LSH (2.5% of PRV)</t>
        </is>
      </c>
      <c r="B16" t="n">
        <v>665905</v>
      </c>
    </row>
    <row r="17">
      <c r="A17" s="2" t="inlineStr">
        <is>
          <t>Locked Total Project Cost ($)</t>
        </is>
      </c>
      <c r="B17" t="n">
        <v>1455526</v>
      </c>
    </row>
    <row r="18">
      <c r="A18" s="2" t="inlineStr">
        <is>
          <t>Locked TPC ($000, printed)</t>
        </is>
      </c>
      <c r="B18" t="n">
        <v>1456</v>
      </c>
    </row>
    <row r="19">
      <c r="A19" s="2" t="inlineStr">
        <is>
          <t>Prepared By</t>
        </is>
      </c>
      <c r="B19" t="inlineStr">
        <is>
          <t>Anthony L. Potter, Facilities Planner, MCIPAC G-F PPE</t>
        </is>
      </c>
    </row>
    <row r="20">
      <c r="A20" s="2" t="inlineStr">
        <is>
          <t>Signing Officer (PWO)</t>
        </is>
      </c>
      <c r="B20" t="inlineStr">
        <is>
          <t>CDR Justus K. O'Connor</t>
        </is>
      </c>
    </row>
    <row r="21">
      <c r="A21" s="2" t="inlineStr">
        <is>
          <t>Government Client</t>
        </is>
      </c>
      <c r="B21" t="inlineStr">
        <is>
          <t>Bil Hawkins, P.E., PMP, Deputy PWO</t>
        </is>
      </c>
    </row>
    <row r="22">
      <c r="A22" s="2" t="inlineStr">
        <is>
          <t>Reviewer</t>
        </is>
      </c>
      <c r="B22" t="inlineStr">
        <is>
          <t>Robert W. Kaye, RA, Planning Director NAVFAC FEAD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60" customWidth="1" min="1" max="1"/>
    <col width="6" customWidth="1" min="2" max="2"/>
    <col width="12" customWidth="1" min="3" max="3"/>
    <col width="12" customWidth="1" min="4" max="4"/>
    <col width="14" customWidth="1" min="5" max="5"/>
  </cols>
  <sheetData>
    <row r="1">
      <c r="A1" s="3" t="inlineStr">
        <is>
          <t>9. Cost Estimates</t>
        </is>
      </c>
    </row>
    <row r="3">
      <c r="A3" s="4" t="inlineStr">
        <is>
          <t>Item</t>
        </is>
      </c>
      <c r="B3" s="4" t="inlineStr">
        <is>
          <t>UM</t>
        </is>
      </c>
      <c r="C3" s="4" t="inlineStr">
        <is>
          <t>Quantity</t>
        </is>
      </c>
      <c r="D3" s="4" t="inlineStr">
        <is>
          <t>Unit Cost</t>
        </is>
      </c>
      <c r="E3" s="4" t="inlineStr">
        <is>
          <t>Cost ($000)</t>
        </is>
      </c>
    </row>
    <row r="4">
      <c r="A4" s="5" t="inlineStr">
        <is>
          <t>PRIMARY FACILITY</t>
        </is>
      </c>
      <c r="B4" s="6" t="n"/>
      <c r="C4" s="6" t="n"/>
      <c r="D4" s="6" t="n"/>
      <c r="E4" s="7">
        <f>BACKUP!B13</f>
        <v/>
      </c>
    </row>
    <row r="5">
      <c r="A5" s="6" t="inlineStr">
        <is>
          <t xml:space="preserve">  WAREHOUSE/ARMORY FAC#3237 (Conversion / Alteration)</t>
        </is>
      </c>
      <c r="B5" s="8" t="inlineStr">
        <is>
          <t>SF</t>
        </is>
      </c>
      <c r="C5" s="9">
        <f>BACKUP!B5</f>
        <v/>
      </c>
      <c r="D5" s="10">
        <f>BACKUP!B11</f>
        <v/>
      </c>
      <c r="E5" s="9">
        <f>ROUND(C5*D5/1000,0)</f>
        <v/>
      </c>
    </row>
    <row r="7">
      <c r="A7" s="2" t="inlineStr">
        <is>
          <t>Subtotal</t>
        </is>
      </c>
      <c r="E7" s="11">
        <f>BACKUP!B13</f>
        <v/>
      </c>
    </row>
    <row r="8">
      <c r="A8" t="inlineStr">
        <is>
          <t>Contingency (10.0%)</t>
        </is>
      </c>
      <c r="E8" s="12">
        <f>ROUND(BACKUP!B17/1000,0)</f>
        <v/>
      </c>
    </row>
    <row r="9">
      <c r="A9" s="2" t="inlineStr">
        <is>
          <t>Total Contract Cost</t>
        </is>
      </c>
      <c r="E9" s="11">
        <f>ROUND(BACKUP!B18/1000,0)</f>
        <v/>
      </c>
    </row>
    <row r="10">
      <c r="A10" t="inlineStr">
        <is>
          <t>Supervision, Inspection and Overhead (8.0%)</t>
        </is>
      </c>
      <c r="E10" s="12">
        <f>ROUND(BACKUP!B19/1000,0)</f>
        <v/>
      </c>
    </row>
    <row r="11">
      <c r="A11" s="2" t="inlineStr">
        <is>
          <t>Total Funded Cost</t>
        </is>
      </c>
      <c r="E11" s="11">
        <f>ROUND(BACKUP!B20/1000,0)</f>
        <v/>
      </c>
    </row>
    <row r="12">
      <c r="A12" t="inlineStr">
        <is>
          <t>Design-Build - Design Cost (4.0%)</t>
        </is>
      </c>
      <c r="E12" s="12">
        <f>ROUND(BACKUP!B21/1000,0)</f>
        <v/>
      </c>
    </row>
    <row r="13">
      <c r="A13" s="13" t="inlineStr">
        <is>
          <t>TOTAL PROJECT COST</t>
        </is>
      </c>
      <c r="E13" s="14">
        <f>BACKUP!B23</f>
        <v/>
      </c>
    </row>
    <row r="14">
      <c r="A14" t="inlineStr">
        <is>
          <t>Planning and Design (6.0%) (NON ADD)</t>
        </is>
      </c>
      <c r="E14" s="15">
        <f>ROUND(BACKUP!B24/1000,0)</f>
        <v/>
      </c>
    </row>
    <row r="15">
      <c r="A15" t="inlineStr">
        <is>
          <t>Equipment from Other Appropriations (NON ADD)</t>
        </is>
      </c>
      <c r="E15" s="15" t="n">
        <v>0</v>
      </c>
    </row>
    <row r="17">
      <c r="A17" s="2" t="inlineStr">
        <is>
          <t>Classification of Work</t>
        </is>
      </c>
    </row>
    <row r="18">
      <c r="A18" t="inlineStr">
        <is>
          <t xml:space="preserve">  Construction</t>
        </is>
      </c>
      <c r="E18" s="12">
        <f>E13</f>
        <v/>
      </c>
    </row>
    <row r="19">
      <c r="A19" s="2" t="inlineStr">
        <is>
          <t>Special Interest Codes</t>
        </is>
      </c>
    </row>
    <row r="20">
      <c r="A20" t="inlineStr">
        <is>
          <t xml:space="preserve">  Restoration and Modernization</t>
        </is>
      </c>
      <c r="E20" s="12">
        <f>E13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10" customWidth="1" min="1" max="1"/>
  </cols>
  <sheetData>
    <row r="1">
      <c r="A1" s="3" t="inlineStr">
        <is>
          <t>10. Description of Proposed Construction</t>
        </is>
      </c>
    </row>
    <row r="3" ht="800" customHeight="1">
      <c r="A3" s="16" t="inlineStr">
        <is>
          <t>The building serves as the primary warehouse storage for administrative space for
  4th Marine Regiment (4th MarRegt) and Combat Logistics Battalion 4 (CLB-4) on Camp
  Schwab. Following completion of this project, the building will remain in
  operational use for a minimum of 20 years.
  This project provides for the interior reconfiguration and systems modernization of
  the warehouse to support multiple tenant units. The scope includes the demolition of
  existing interior fencing and the installation of new interior partitions to create
  separate, secure storage areas for each unit.
  A primary component of this project is the construction of a new, enclosed
  Telecommunications Room (TR) within the warehouse. The new TR will be equipped with
  a dedicated fire suppression system in compliance with applicable Unified Facilities
  Criteria (UFC). All equipment and infrastructure from the original
  telecommunications room will be relocated to this new, hardened space.
  Finally, the project includes the comprehensive modernization of the
  telecommunications infrastructure. This involves upgrading all cabling, backboards,
  and supporting hardware to increase network capacity and bring the facility into
  compliance with current MCIPAC G-6 policy. All affected areas will be brought up to
  current codes, including Antiterrorism Force Protection (AT/FP), fire, seismic, and
  accessibility standards. Minor deficiencies identified during the project scope will
  also be repaired.
  CYBERSECURITY: The project's design and construction shall fully address Facility-
  Related Control Systems (FRCS) cybersecurity requirements, to include cybersecurity
  commissioning. These requirements are in accordance with current Department of
  Defense (DoD) criteria, Unified Facilities Criteria (UFC) standards, and National
  Institute of Standards and Technology (NIST) guidelines. Cybersecurity features
  include hardware, software, documentation, and testing provided by the construction
  contractor for FRCS. Cybersecurity commissioning covers government-provided
  documentation and testing for FRCS cybersecurity.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50" customWidth="1" min="1" max="1"/>
    <col width="18" customWidth="1" min="2" max="2"/>
  </cols>
  <sheetData>
    <row r="1">
      <c r="A1" s="3" t="inlineStr">
        <is>
          <t>BACKUP - Locked TPC back-solver (drives BLOCK9 face)</t>
        </is>
      </c>
    </row>
    <row r="3">
      <c r="A3" s="13" t="inlineStr">
        <is>
          <t>INPUTS (locked)</t>
        </is>
      </c>
    </row>
    <row r="4">
      <c r="A4" s="2" t="inlineStr">
        <is>
          <t>Locked TPC ($)</t>
        </is>
      </c>
      <c r="B4" s="17" t="n">
        <v>1455526</v>
      </c>
    </row>
    <row r="5">
      <c r="A5" s="2" t="inlineStr">
        <is>
          <t>GSF (iNFADS, locked Quantity)</t>
        </is>
      </c>
      <c r="B5" s="18" t="n">
        <v>30973</v>
      </c>
    </row>
    <row r="6">
      <c r="A6" s="2" t="inlineStr">
        <is>
          <t>PRV ($, iNFADS)</t>
        </is>
      </c>
      <c r="B6" s="17" t="n">
        <v>26636215</v>
      </c>
    </row>
    <row r="7">
      <c r="A7" s="2" t="inlineStr">
        <is>
          <t>LSH ($, 2.5% of PRV)</t>
        </is>
      </c>
      <c r="B7" s="17">
        <f>B6*0.025</f>
        <v/>
      </c>
    </row>
    <row r="8">
      <c r="A8" s="2" t="inlineStr">
        <is>
          <t>Multiplier (1.10 x 1.08 x 1.04)</t>
        </is>
      </c>
      <c r="B8" s="19" t="n">
        <v>1.23552</v>
      </c>
    </row>
    <row r="10">
      <c r="A10" s="13" t="inlineStr">
        <is>
          <t>PAX ENTRY (what Anthony types into Block 9)</t>
        </is>
      </c>
    </row>
    <row r="11">
      <c r="A11" s="2" t="inlineStr">
        <is>
          <t>Unit Cost ($/SF) - calibrated to land Locked TPC at $000</t>
        </is>
      </c>
      <c r="B11" s="20" t="n">
        <v>38.04</v>
      </c>
    </row>
    <row r="12">
      <c r="A12" s="2" t="inlineStr">
        <is>
          <t>Items Table Subtotal (raw $) = GSF x UC</t>
        </is>
      </c>
      <c r="B12" s="21">
        <f>B5*B11</f>
        <v/>
      </c>
    </row>
    <row r="13">
      <c r="A13" s="2" t="inlineStr">
        <is>
          <t>Items Table Subtotal ($000)</t>
        </is>
      </c>
      <c r="B13" s="12">
        <f>ROUND(B12/1000,0)</f>
        <v/>
      </c>
    </row>
    <row r="15">
      <c r="A15" s="13" t="inlineStr">
        <is>
          <t>PAX ROLLUP (computed from items table subtotal, raw $)</t>
        </is>
      </c>
    </row>
    <row r="16">
      <c r="A16" s="2" t="inlineStr">
        <is>
          <t>Subtotal ($)</t>
        </is>
      </c>
      <c r="B16" s="21">
        <f>B12</f>
        <v/>
      </c>
    </row>
    <row r="17">
      <c r="A17" s="2" t="inlineStr">
        <is>
          <t>Contingency (10.0%)</t>
        </is>
      </c>
      <c r="B17" s="21">
        <f>B16*0.10</f>
        <v/>
      </c>
    </row>
    <row r="18">
      <c r="A18" s="2" t="inlineStr">
        <is>
          <t>Total Contract Cost</t>
        </is>
      </c>
      <c r="B18" s="21">
        <f>B16+B17</f>
        <v/>
      </c>
    </row>
    <row r="19">
      <c r="A19" s="2" t="inlineStr">
        <is>
          <t>SIOH (8.0%)</t>
        </is>
      </c>
      <c r="B19" s="21">
        <f>B18*0.08</f>
        <v/>
      </c>
    </row>
    <row r="20">
      <c r="A20" s="2" t="inlineStr">
        <is>
          <t>Total Funded Cost</t>
        </is>
      </c>
      <c r="B20" s="21">
        <f>B18+B19</f>
        <v/>
      </c>
    </row>
    <row r="21">
      <c r="A21" s="2" t="inlineStr">
        <is>
          <t>Design-Build Design (4.0%)</t>
        </is>
      </c>
      <c r="B21" s="21">
        <f>B20*0.04</f>
        <v/>
      </c>
    </row>
    <row r="22">
      <c r="A22" s="2" t="inlineStr">
        <is>
          <t>Total Project Cost ($)</t>
        </is>
      </c>
      <c r="B22" s="21">
        <f>B20+B21</f>
        <v/>
      </c>
    </row>
    <row r="23">
      <c r="A23" s="2" t="inlineStr">
        <is>
          <t>Total Project Cost ($000)</t>
        </is>
      </c>
      <c r="B23" s="12">
        <f>ROUND(B22/1000,0)</f>
        <v/>
      </c>
    </row>
    <row r="24">
      <c r="A24" s="2" t="inlineStr">
        <is>
          <t>Planning and Design (6.0%) (NON ADD)</t>
        </is>
      </c>
      <c r="B24" s="21">
        <f>B22*0.06</f>
        <v/>
      </c>
    </row>
    <row r="26">
      <c r="A26" s="13" t="inlineStr">
        <is>
          <t>RECONCILIATION</t>
        </is>
      </c>
    </row>
    <row r="27">
      <c r="A27" t="inlineStr">
        <is>
          <t>Workbook TPC ($)</t>
        </is>
      </c>
      <c r="B27" s="21">
        <f>B22</f>
        <v/>
      </c>
    </row>
    <row r="28">
      <c r="A28" t="inlineStr">
        <is>
          <t>Locked TPC ($)</t>
        </is>
      </c>
      <c r="B28" s="21">
        <f>B4</f>
        <v/>
      </c>
    </row>
    <row r="29">
      <c r="A29" t="inlineStr">
        <is>
          <t>Delta ($)</t>
        </is>
      </c>
      <c r="B29" s="22">
        <f>B27-B28</f>
        <v/>
      </c>
    </row>
    <row r="30">
      <c r="A30" t="inlineStr">
        <is>
          <t>Workbook TPC ($000)</t>
        </is>
      </c>
      <c r="B30" s="12">
        <f>B23</f>
        <v/>
      </c>
    </row>
    <row r="31">
      <c r="A31" t="inlineStr">
        <is>
          <t>Locked TPC ($000, printed)</t>
        </is>
      </c>
      <c r="B31" s="12">
        <f>ROUND(B4/1000,0)</f>
        <v/>
      </c>
    </row>
    <row r="32">
      <c r="A32" s="2" t="inlineStr">
        <is>
          <t>Delta ($000) - MUST BE 0</t>
        </is>
      </c>
      <c r="B32" s="23">
        <f>B30-B31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8" customWidth="1" min="1" max="1"/>
    <col width="14" customWidth="1" min="2" max="2"/>
    <col width="80" customWidth="1" min="3" max="3"/>
  </cols>
  <sheetData>
    <row r="1">
      <c r="A1" s="3" t="inlineStr">
        <is>
          <t>RATES (PAX Associated Costs and project parameters)</t>
        </is>
      </c>
    </row>
    <row r="3">
      <c r="A3" s="13" t="inlineStr">
        <is>
          <t>PAX Associated Costs (pre-loaded by operator)</t>
        </is>
      </c>
    </row>
    <row r="4">
      <c r="A4" s="2" t="inlineStr">
        <is>
          <t>Contingency</t>
        </is>
      </c>
      <c r="B4" s="24" t="n">
        <v>0.1</v>
      </c>
      <c r="C4" t="inlineStr">
        <is>
          <t>FSRM program-directed; CRB Guidelines May 2024 (REV #15)</t>
        </is>
      </c>
    </row>
    <row r="5">
      <c r="A5" s="2" t="inlineStr">
        <is>
          <t>Supervision Inspection and Overhead (SIOH)</t>
        </is>
      </c>
      <c r="B5" s="24" t="n">
        <v>0.08</v>
      </c>
      <c r="C5" t="inlineStr">
        <is>
          <t>OCONUS FSRM customer-directed for MCIPAC G-F</t>
        </is>
      </c>
    </row>
    <row r="6">
      <c r="A6" s="2" t="inlineStr">
        <is>
          <t>Design Build (DBD) - REQUIRED</t>
        </is>
      </c>
      <c r="B6" s="24" t="n">
        <v>0.04</v>
      </c>
      <c r="C6" t="inlineStr">
        <is>
          <t>UFC 3-730-01 (2024) - applied after Total Funded Cost</t>
        </is>
      </c>
    </row>
    <row r="7">
      <c r="A7" s="2" t="inlineStr">
        <is>
          <t>Planning and Design (P&amp;D) (NON ADD)</t>
        </is>
      </c>
      <c r="B7" s="24" t="n">
        <v>0.06</v>
      </c>
      <c r="C7" t="inlineStr">
        <is>
          <t>Does not roll into TPC</t>
        </is>
      </c>
    </row>
    <row r="9">
      <c r="A9" s="13" t="inlineStr">
        <is>
          <t>Project parameters</t>
        </is>
      </c>
    </row>
    <row r="10">
      <c r="A10" s="2" t="inlineStr">
        <is>
          <t>Area Cost Factor (ACF)</t>
        </is>
      </c>
      <c r="B10" t="n">
        <v>1.85</v>
      </c>
      <c r="C10" t="inlineStr">
        <is>
          <t>UFC 3-701-01 w/Change 7 (25 Jul 2025), Table 4-1, M67400-0004 OCONUS Okinawa</t>
        </is>
      </c>
    </row>
    <row r="11">
      <c r="A11" s="2" t="inlineStr">
        <is>
          <t>LSH Rate (% of PRV)</t>
        </is>
      </c>
      <c r="B11" s="24" t="n">
        <v>0.025</v>
      </c>
      <c r="C11" t="inlineStr">
        <is>
          <t>Local direction at startup</t>
        </is>
      </c>
    </row>
    <row r="12">
      <c r="A12" s="2" t="inlineStr">
        <is>
          <t>JPY/USD Planning Rate</t>
        </is>
      </c>
      <c r="B12" t="n">
        <v>150.4415</v>
      </c>
      <c r="C12" t="inlineStr">
        <is>
          <t>FY26 budget planning rate</t>
        </is>
      </c>
    </row>
    <row r="13">
      <c r="A13" s="2" t="inlineStr">
        <is>
          <t>JPY/USD H.10 Rate (live)</t>
        </is>
      </c>
      <c r="B13" t="inlineStr"/>
      <c r="C13" t="inlineStr">
        <is>
          <t>Verify Federal Reserve H.10 on date of PAX submission</t>
        </is>
      </c>
    </row>
    <row r="14">
      <c r="A14" s="2" t="inlineStr">
        <is>
          <t>Escalation (annual)</t>
        </is>
      </c>
      <c r="B14" s="24" t="n">
        <v>0.021</v>
      </c>
      <c r="C14" t="inlineStr">
        <is>
          <t>OSD FY25 published rate</t>
        </is>
      </c>
    </row>
    <row r="15">
      <c r="A15" s="2" t="inlineStr">
        <is>
          <t>General Requirements</t>
        </is>
      </c>
      <c r="B15" s="24" t="n">
        <v>0.1</v>
      </c>
      <c r="C15" t="inlineStr">
        <is>
          <t>FSRM program-directed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2" customWidth="1" min="1" max="1"/>
    <col width="18" customWidth="1" min="2" max="2"/>
    <col width="70" customWidth="1" min="3" max="3"/>
  </cols>
  <sheetData>
    <row r="1">
      <c r="A1" s="3" t="inlineStr">
        <is>
          <t>REFERENCES (authority cites)</t>
        </is>
      </c>
    </row>
    <row r="3">
      <c r="A3" s="13" t="inlineStr">
        <is>
          <t>Document</t>
        </is>
      </c>
      <c r="B3" s="13" t="inlineStr">
        <is>
          <t>Date / Edition</t>
        </is>
      </c>
      <c r="C3" s="13" t="inlineStr">
        <is>
          <t>Authority for</t>
        </is>
      </c>
    </row>
    <row r="4">
      <c r="A4" s="2" t="inlineStr">
        <is>
          <t>MCO 11000.5</t>
        </is>
      </c>
      <c r="B4" t="inlineStr">
        <is>
          <t>03 Jun 2016</t>
        </is>
      </c>
      <c r="C4" t="inlineStr">
        <is>
          <t>Real Property FSRM Program</t>
        </is>
      </c>
    </row>
    <row r="5">
      <c r="A5" s="2" t="inlineStr">
        <is>
          <t>MCO 11000.12</t>
        </is>
      </c>
      <c r="B5" t="inlineStr">
        <is>
          <t>08 Sep 2014</t>
        </is>
      </c>
      <c r="C5" t="inlineStr">
        <is>
          <t>Real Property Facilities Manual</t>
        </is>
      </c>
    </row>
    <row r="6">
      <c r="A6" s="2" t="inlineStr">
        <is>
          <t>CRB Guidelines (REV #15)</t>
        </is>
      </c>
      <c r="B6" t="inlineStr">
        <is>
          <t>May 2024</t>
        </is>
      </c>
      <c r="C6" t="inlineStr">
        <is>
          <t>Block 9 line-item sequencing</t>
        </is>
      </c>
    </row>
    <row r="7">
      <c r="A7" s="2" t="inlineStr">
        <is>
          <t>UFC 3-701-01 with Change 7</t>
        </is>
      </c>
      <c r="B7" t="inlineStr">
        <is>
          <t>25 Jul 2025</t>
        </is>
      </c>
      <c r="C7" t="inlineStr">
        <is>
          <t>PUC and ACF tables, Equation 3-1 PRV formula</t>
        </is>
      </c>
    </row>
    <row r="8">
      <c r="A8" s="2" t="inlineStr">
        <is>
          <t>UFC 3-730-01</t>
        </is>
      </c>
      <c r="B8" t="inlineStr">
        <is>
          <t>2024</t>
        </is>
      </c>
      <c r="C8" t="inlineStr">
        <is>
          <t>Design-Build contracting; DB Design 4% applied after TFC</t>
        </is>
      </c>
    </row>
    <row r="9">
      <c r="A9" s="2" t="inlineStr">
        <is>
          <t>JED Cost Estimating Guide</t>
        </is>
      </c>
      <c r="B9" t="inlineStr">
        <is>
          <t>Nov 2025</t>
        </is>
      </c>
      <c r="C9" t="inlineStr">
        <is>
          <t>Cost estimating methodology</t>
        </is>
      </c>
    </row>
    <row r="10">
      <c r="A10" s="2" t="inlineStr">
        <is>
          <t>Japan District Design Guide v9</t>
        </is>
      </c>
      <c r="B10" t="inlineStr">
        <is>
          <t>April 2025</t>
        </is>
      </c>
      <c r="C10" t="inlineStr">
        <is>
          <t>Okinawa-specific design criteria</t>
        </is>
      </c>
    </row>
    <row r="12">
      <c r="A12" s="13" t="inlineStr">
        <is>
          <t>NOT CITED</t>
        </is>
      </c>
    </row>
    <row r="13">
      <c r="A13" t="inlineStr">
        <is>
          <t>NAVFAC 11010.44E</t>
        </is>
      </c>
      <c r="B13" t="inlineStr">
        <is>
          <t>INACTIVE</t>
        </is>
      </c>
      <c r="C13" t="inlineStr">
        <is>
          <t>Inactivated by 1987 issuance; not citable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2026-04-29T07:16:44Z</dcterms:created>
  <dcterms:modified xsi:type="dcterms:W3CDTF">2026-04-29T07:16:44Z</dcterms:modified>
</cp:coreProperties>
</file>