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BLOCK9" sheetId="2" state="visible" r:id="rId2"/>
    <sheet name="BLOCK10" sheetId="3" state="visible" r:id="rId3"/>
    <sheet name="BACKUP" sheetId="4" state="visible" r:id="rId4"/>
    <sheet name="RATES" sheetId="5" state="visible" r:id="rId5"/>
    <sheet name="REFERENCES" sheetId="6" state="visible" r:id="rId6"/>
  </sheets>
  <definedNames/>
  <calcPr calcId="124519" fullCalcOnLoad="1"/>
</workbook>
</file>

<file path=xl/styles.xml><?xml version="1.0" encoding="utf-8"?>
<styleSheet xmlns="http://schemas.openxmlformats.org/spreadsheetml/2006/main">
  <numFmts count="7">
    <numFmt numFmtId="164" formatCode="&quot;$&quot;#,##0"/>
    <numFmt numFmtId="165" formatCode="0.00000"/>
    <numFmt numFmtId="166" formatCode="&quot;$&quot;#,##0.00"/>
    <numFmt numFmtId="167" formatCode="&quot;$&quot;#,##0;[Red]&quot;$&quot;-#,##0"/>
    <numFmt numFmtId="168" formatCode="#,##0;[Red]-#,##0"/>
    <numFmt numFmtId="169" formatCode="&quot;(&quot;#,##0&quot;)&quot;"/>
    <numFmt numFmtId="170" formatCode="0.0%"/>
  </numFmts>
  <fonts count="4">
    <font>
      <name val="Calibri"/>
      <family val="2"/>
      <color theme="1"/>
      <sz val="11"/>
      <scheme val="minor"/>
    </font>
    <font>
      <b val="1"/>
      <sz val="14"/>
    </font>
    <font>
      <b val="1"/>
    </font>
    <font>
      <b val="1"/>
      <sz val="12"/>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left style="thin"/>
      <right style="thin"/>
      <top style="thin"/>
      <bottom style="thin"/>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2" fillId="2" borderId="1" applyAlignment="1" pivotButton="0" quotePrefix="0" xfId="0">
      <alignment horizontal="center"/>
    </xf>
    <xf numFmtId="0" fontId="2" fillId="0" borderId="1" pivotButton="0" quotePrefix="0" xfId="0"/>
    <xf numFmtId="0" fontId="0" fillId="0" borderId="1" pivotButton="0" quotePrefix="0" xfId="0"/>
    <xf numFmtId="3" fontId="2" fillId="0" borderId="1" pivotButton="0" quotePrefix="0" xfId="0"/>
    <xf numFmtId="0" fontId="0" fillId="0" borderId="1" applyAlignment="1" pivotButton="0" quotePrefix="0" xfId="0">
      <alignment horizontal="center"/>
    </xf>
    <xf numFmtId="3" fontId="0" fillId="0" borderId="1" applyAlignment="1" pivotButton="0" quotePrefix="0" xfId="0">
      <alignment horizontal="right"/>
    </xf>
    <xf numFmtId="4" fontId="0" fillId="0" borderId="1" applyAlignment="1" pivotButton="0" quotePrefix="0" xfId="0">
      <alignment horizontal="right"/>
    </xf>
    <xf numFmtId="3" fontId="2" fillId="0" borderId="0" pivotButton="0" quotePrefix="0" xfId="0"/>
    <xf numFmtId="3" fontId="0" fillId="0" borderId="0" pivotButton="0" quotePrefix="0" xfId="0"/>
    <xf numFmtId="0" fontId="2" fillId="2" borderId="0" pivotButton="0" quotePrefix="0" xfId="0"/>
    <xf numFmtId="3" fontId="2" fillId="2" borderId="0" pivotButton="0" quotePrefix="0" xfId="0"/>
    <xf numFmtId="169" fontId="0" fillId="0" borderId="0" pivotButton="0" quotePrefix="0" xfId="0"/>
    <xf numFmtId="0" fontId="0" fillId="0" borderId="0" applyAlignment="1" pivotButton="0" quotePrefix="0" xfId="0">
      <alignment vertical="top" wrapText="1"/>
    </xf>
    <xf numFmtId="164" fontId="0" fillId="3" borderId="0" pivotButton="0" quotePrefix="0" xfId="0"/>
    <xf numFmtId="3" fontId="0" fillId="3" borderId="0" pivotButton="0" quotePrefix="0" xfId="0"/>
    <xf numFmtId="165" fontId="0" fillId="3" borderId="0" pivotButton="0" quotePrefix="0" xfId="0"/>
    <xf numFmtId="166" fontId="0" fillId="3" borderId="0" pivotButton="0" quotePrefix="0" xfId="0"/>
    <xf numFmtId="164" fontId="0" fillId="0" borderId="0" pivotButton="0" quotePrefix="0" xfId="0"/>
    <xf numFmtId="167" fontId="0" fillId="0" borderId="0" pivotButton="0" quotePrefix="0" xfId="0"/>
    <xf numFmtId="168" fontId="2"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8" customWidth="1" min="1" max="1"/>
    <col width="80" customWidth="1" min="2" max="2"/>
  </cols>
  <sheetData>
    <row r="1">
      <c r="A1" s="1" t="inlineStr">
        <is>
          <t>DD FORM 1391 COST ESTIMATE</t>
        </is>
      </c>
    </row>
    <row r="3">
      <c r="A3" s="2" t="inlineStr">
        <is>
          <t>Building</t>
        </is>
      </c>
      <c r="B3" t="inlineStr">
        <is>
          <t>SCH-3213</t>
        </is>
      </c>
    </row>
    <row r="4">
      <c r="A4" s="2" t="inlineStr">
        <is>
          <t>iNFADS Description</t>
        </is>
      </c>
      <c r="B4" t="inlineStr">
        <is>
          <t>COMPANY HQ</t>
        </is>
      </c>
    </row>
    <row r="5">
      <c r="A5" s="2" t="inlineStr">
        <is>
          <t>Primary CCN</t>
        </is>
      </c>
      <c r="B5" t="n">
        <v>61010</v>
      </c>
    </row>
    <row r="6">
      <c r="A6" s="2" t="inlineStr">
        <is>
          <t>RPUID</t>
        </is>
      </c>
      <c r="B6" t="n">
        <v>48879</v>
      </c>
    </row>
    <row r="7">
      <c r="A7" s="2" t="inlineStr">
        <is>
          <t>PAX ID</t>
        </is>
      </c>
      <c r="B7" t="n">
        <v>387624</v>
      </c>
    </row>
    <row r="8">
      <c r="A8" s="2" t="inlineStr">
        <is>
          <t>Fi Web Project Number</t>
        </is>
      </c>
      <c r="B8" t="inlineStr">
        <is>
          <t>BU26PPE72M</t>
        </is>
      </c>
    </row>
    <row r="9">
      <c r="A9" s="2" t="inlineStr">
        <is>
          <t>Installation/UIC</t>
        </is>
      </c>
      <c r="B9" t="inlineStr">
        <is>
          <t>M67400 (SH)</t>
        </is>
      </c>
    </row>
    <row r="10">
      <c r="A10" s="2" t="inlineStr">
        <is>
          <t>Location</t>
        </is>
      </c>
      <c r="B10" t="inlineStr">
        <is>
          <t>MARINE CORPS BASE, CAMP SMEDLEY BUTLER (CAMP SCHWAB-6009), HENOKO OKINAWA, JAPAN</t>
        </is>
      </c>
    </row>
    <row r="11">
      <c r="A11" s="2" t="inlineStr">
        <is>
          <t>Project Title</t>
        </is>
      </c>
      <c r="B11" t="inlineStr">
        <is>
          <t>Repair Bldg 3213, Convert to CLB-4 Headquarters</t>
        </is>
      </c>
    </row>
    <row r="12">
      <c r="A12" s="2" t="inlineStr">
        <is>
          <t>Fund Type</t>
        </is>
      </c>
      <c r="B12" t="inlineStr">
        <is>
          <t>O&amp;MMC</t>
        </is>
      </c>
    </row>
    <row r="13">
      <c r="A13" s="2" t="inlineStr">
        <is>
          <t>Acquisition Method</t>
        </is>
      </c>
      <c r="B13" t="inlineStr">
        <is>
          <t>Design-Build (DB)</t>
        </is>
      </c>
    </row>
    <row r="14">
      <c r="A14" s="2" t="inlineStr">
        <is>
          <t>Total Building GSF (iNFADS)</t>
        </is>
      </c>
      <c r="B14" t="n">
        <v>13484</v>
      </c>
    </row>
    <row r="15">
      <c r="A15" s="2" t="inlineStr">
        <is>
          <t>PRV (iNFADS)</t>
        </is>
      </c>
      <c r="B15" t="n">
        <v>10893334</v>
      </c>
    </row>
    <row r="16">
      <c r="A16" s="2" t="inlineStr">
        <is>
          <t>LSH (2.5% of PRV)</t>
        </is>
      </c>
      <c r="B16" t="n">
        <v>272333</v>
      </c>
    </row>
    <row r="17">
      <c r="A17" s="2" t="inlineStr">
        <is>
          <t>Locked Total Project Cost ($)</t>
        </is>
      </c>
      <c r="B17" t="n">
        <v>5397928</v>
      </c>
    </row>
    <row r="18">
      <c r="A18" s="2" t="inlineStr">
        <is>
          <t>Locked TPC ($000, printed)</t>
        </is>
      </c>
      <c r="B18" t="n">
        <v>5398</v>
      </c>
    </row>
    <row r="19">
      <c r="A19" s="2" t="inlineStr">
        <is>
          <t>Prepared By</t>
        </is>
      </c>
      <c r="B19" t="inlineStr">
        <is>
          <t>Anthony L. Potter, Facilities Planner, MCIPAC G-F PPE</t>
        </is>
      </c>
    </row>
    <row r="20">
      <c r="A20" s="2" t="inlineStr">
        <is>
          <t>Signing Officer (PWO)</t>
        </is>
      </c>
      <c r="B20" t="inlineStr">
        <is>
          <t>CDR Justus K. O'Connor</t>
        </is>
      </c>
    </row>
    <row r="21">
      <c r="A21" s="2" t="inlineStr">
        <is>
          <t>Government Client</t>
        </is>
      </c>
      <c r="B21" t="inlineStr">
        <is>
          <t>Bil Hawkins, P.E., PMP, Deputy PWO</t>
        </is>
      </c>
    </row>
    <row r="22">
      <c r="A22" s="2" t="inlineStr">
        <is>
          <t>Reviewer</t>
        </is>
      </c>
      <c r="B22" t="inlineStr">
        <is>
          <t>Robert W. Kaye, RA, Planning Director NAVFAC FEAD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60" customWidth="1" min="1" max="1"/>
    <col width="6" customWidth="1" min="2" max="2"/>
    <col width="12" customWidth="1" min="3" max="3"/>
    <col width="12" customWidth="1" min="4" max="4"/>
    <col width="14" customWidth="1" min="5" max="5"/>
  </cols>
  <sheetData>
    <row r="1">
      <c r="A1" s="3" t="inlineStr">
        <is>
          <t>9. Cost Estimates</t>
        </is>
      </c>
    </row>
    <row r="3">
      <c r="A3" s="4" t="inlineStr">
        <is>
          <t>Item</t>
        </is>
      </c>
      <c r="B3" s="4" t="inlineStr">
        <is>
          <t>UM</t>
        </is>
      </c>
      <c r="C3" s="4" t="inlineStr">
        <is>
          <t>Quantity</t>
        </is>
      </c>
      <c r="D3" s="4" t="inlineStr">
        <is>
          <t>Unit Cost</t>
        </is>
      </c>
      <c r="E3" s="4" t="inlineStr">
        <is>
          <t>Cost ($000)</t>
        </is>
      </c>
    </row>
    <row r="4">
      <c r="A4" s="5" t="inlineStr">
        <is>
          <t>PRIMARY FACILITY</t>
        </is>
      </c>
      <c r="B4" s="6" t="n"/>
      <c r="C4" s="6" t="n"/>
      <c r="D4" s="6" t="n"/>
      <c r="E4" s="7">
        <f>BACKUP!B13</f>
        <v/>
      </c>
    </row>
    <row r="5">
      <c r="A5" s="6" t="inlineStr">
        <is>
          <t xml:space="preserve">  COMPANY HQ FAC#3213 (Conversion / Alteration)</t>
        </is>
      </c>
      <c r="B5" s="8" t="inlineStr">
        <is>
          <t>SF</t>
        </is>
      </c>
      <c r="C5" s="9">
        <f>BACKUP!B5</f>
        <v/>
      </c>
      <c r="D5" s="10">
        <f>BACKUP!B11</f>
        <v/>
      </c>
      <c r="E5" s="9">
        <f>ROUND(C5*D5/1000,0)</f>
        <v/>
      </c>
    </row>
    <row r="7">
      <c r="A7" s="2" t="inlineStr">
        <is>
          <t>Subtotal</t>
        </is>
      </c>
      <c r="E7" s="11">
        <f>BACKUP!B13</f>
        <v/>
      </c>
    </row>
    <row r="8">
      <c r="A8" t="inlineStr">
        <is>
          <t>Contingency (10.0%)</t>
        </is>
      </c>
      <c r="E8" s="12">
        <f>ROUND(BACKUP!B17/1000,0)</f>
        <v/>
      </c>
    </row>
    <row r="9">
      <c r="A9" s="2" t="inlineStr">
        <is>
          <t>Total Contract Cost</t>
        </is>
      </c>
      <c r="E9" s="11">
        <f>ROUND(BACKUP!B18/1000,0)</f>
        <v/>
      </c>
    </row>
    <row r="10">
      <c r="A10" t="inlineStr">
        <is>
          <t>Supervision, Inspection and Overhead (8.0%)</t>
        </is>
      </c>
      <c r="E10" s="12">
        <f>ROUND(BACKUP!B19/1000,0)</f>
        <v/>
      </c>
    </row>
    <row r="11">
      <c r="A11" s="2" t="inlineStr">
        <is>
          <t>Total Funded Cost</t>
        </is>
      </c>
      <c r="E11" s="11">
        <f>ROUND(BACKUP!B20/1000,0)</f>
        <v/>
      </c>
    </row>
    <row r="12">
      <c r="A12" t="inlineStr">
        <is>
          <t>Design-Build - Design Cost (4.0%)</t>
        </is>
      </c>
      <c r="E12" s="12">
        <f>ROUND(BACKUP!B21/1000,0)</f>
        <v/>
      </c>
    </row>
    <row r="13">
      <c r="A13" s="13" t="inlineStr">
        <is>
          <t>TOTAL PROJECT COST</t>
        </is>
      </c>
      <c r="E13" s="14">
        <f>BACKUP!B23</f>
        <v/>
      </c>
    </row>
    <row r="14">
      <c r="A14" t="inlineStr">
        <is>
          <t>Planning and Design (6.0%) (NON ADD)</t>
        </is>
      </c>
      <c r="E14" s="15">
        <f>ROUND(BACKUP!B24/1000,0)</f>
        <v/>
      </c>
    </row>
    <row r="15">
      <c r="A15" t="inlineStr">
        <is>
          <t>Equipment from Other Appropriations (NON ADD)</t>
        </is>
      </c>
      <c r="E15" s="15" t="n">
        <v>0</v>
      </c>
    </row>
    <row r="17">
      <c r="A17" s="2" t="inlineStr">
        <is>
          <t>Classification of Work</t>
        </is>
      </c>
    </row>
    <row r="18">
      <c r="A18" t="inlineStr">
        <is>
          <t xml:space="preserve">  Construction</t>
        </is>
      </c>
      <c r="E18" s="12">
        <f>E13</f>
        <v/>
      </c>
    </row>
    <row r="19">
      <c r="A19" s="2" t="inlineStr">
        <is>
          <t>Special Interest Codes</t>
        </is>
      </c>
    </row>
    <row r="20">
      <c r="A20" t="inlineStr">
        <is>
          <t xml:space="preserve">  Restoration and Modernization</t>
        </is>
      </c>
      <c r="E20" s="12">
        <f>E13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10" customWidth="1" min="1" max="1"/>
  </cols>
  <sheetData>
    <row r="1">
      <c r="A1" s="3" t="inlineStr">
        <is>
          <t>10. Description of Proposed Construction</t>
        </is>
      </c>
    </row>
    <row r="3" ht="800" customHeight="1">
      <c r="A3" s="16" t="inlineStr">
        <is>
          <t>The building serves as the primary administrative space for Combat Logistics
  Battalion 4 (CLB-4) Command Headquarters on Camp Schwab. Following completion of
  this project, the building will remain in operational use for a minimum of 20 years.
  This project provides for the renovation and modernization of an existing facility
  to meet current operational requirements. The work includes comprehensive
  architectural, structural, mechanical, plumbing, electrical, security, and
  telecommunications upgrades to create a safe, secure, accessible, and fully mission-
  capable environment.
  The architectural and structural scope involves constructing new interior partitions
  to create private offices and separate existing rooms. This will necessitate the
  selective demolition of workbenches, creating new doorways, and installing new doors
  with ventilation louvers. A female shower area will be renovated to accommodate a
  second toilet. A secure storage vault will be constructed in accordance with
  applicable standards, complete with a General Services Administration (GSA) Class V
  vault door and an Intrusion Detection System (IDS).
  Mechanical and plumbing work includes reconfiguring existing plumbing lines for the
  new toilet and adjusting the HVAC system to ensure adequate airflow and ventilation
  for all newly created spaces. Electrical and security upgrades will consist of
  installing new light switches, performing physical security upgrades to the mail
  room, and providing necessary power and grounding for new IT racks and security
  components. The telecommunications and IT scope will modernize the facility's
  infrastructure and install a new SIPR (Secret Internet Protocol Router) network
  rack.
  All design and construction will be performed in strict accordance with the latest
  editions of all applicable laws, regulations, codes, and standards in effect at the
  time of contract award. The project will adhere to all relevant DoD Unified
  Facilities Criteria (UFC), including but not limited to those governing general
  building codes, high-performance and sustainable building requirements,
  antiterrorism standards, and the construction of Sensitive Compartmented Information
  Facilities (SCIF).
  The project will be in full compliance with applicable laws, including the
  Architectural Barriers Act (ABA) for accessibility and the National Environmental
  Policy Act (NEPA) All construction activities will adhere to Occupational Safety and
  Health Act (OSHA) standards. The design will also incorporate the currently adopted
  National Fire Protection Association (NFPA) codes, such as the National Electrical
  Code and the Life Safety Code, as well as the International Building Code (IBC)
  series as required by the UFC. Minor deficiencies identified during the project
  scope will also be repaired.
  CYBERSECURITY: The project's design and construction shall fully address Facility-
  Related Control Systems (FRCS) cybersecurity requirements, to include cybersecurity
  commissioning. These requirements are in accordance with current Department of
  Defense (DoD) criteria, Unified Facilities Criteria (UFC) standards, and National
  Institute of Standards and Technology (NIST) guidelines. Cybersecurity features
  include hardware, software, documentation, and testing provided by the construction
  contractor for FRCS. Cybersecurity commissioning covers government-provided
  documentation and testing for FRCS cybersecurity.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50" customWidth="1" min="1" max="1"/>
    <col width="18" customWidth="1" min="2" max="2"/>
  </cols>
  <sheetData>
    <row r="1">
      <c r="A1" s="3" t="inlineStr">
        <is>
          <t>BACKUP - Locked TPC back-solver (drives BLOCK9 face)</t>
        </is>
      </c>
    </row>
    <row r="3">
      <c r="A3" s="13" t="inlineStr">
        <is>
          <t>INPUTS (locked)</t>
        </is>
      </c>
    </row>
    <row r="4">
      <c r="A4" s="2" t="inlineStr">
        <is>
          <t>Locked TPC ($)</t>
        </is>
      </c>
      <c r="B4" s="17" t="n">
        <v>5397928</v>
      </c>
    </row>
    <row r="5">
      <c r="A5" s="2" t="inlineStr">
        <is>
          <t>GSF (iNFADS, locked Quantity)</t>
        </is>
      </c>
      <c r="B5" s="18" t="n">
        <v>13484</v>
      </c>
    </row>
    <row r="6">
      <c r="A6" s="2" t="inlineStr">
        <is>
          <t>PRV ($, iNFADS)</t>
        </is>
      </c>
      <c r="B6" s="17" t="n">
        <v>10893334</v>
      </c>
    </row>
    <row r="7">
      <c r="A7" s="2" t="inlineStr">
        <is>
          <t>LSH ($, 2.5% of PRV)</t>
        </is>
      </c>
      <c r="B7" s="17">
        <f>B6*0.025</f>
        <v/>
      </c>
    </row>
    <row r="8">
      <c r="A8" s="2" t="inlineStr">
        <is>
          <t>Multiplier (1.10 x 1.08 x 1.04)</t>
        </is>
      </c>
      <c r="B8" s="19" t="n">
        <v>1.23552</v>
      </c>
    </row>
    <row r="10">
      <c r="A10" s="13" t="inlineStr">
        <is>
          <t>PAX ENTRY (what Anthony types into Block 9)</t>
        </is>
      </c>
    </row>
    <row r="11">
      <c r="A11" s="2" t="inlineStr">
        <is>
          <t>Unit Cost ($/SF) - calibrated to land Locked TPC at $000</t>
        </is>
      </c>
      <c r="B11" s="20" t="n">
        <v>324</v>
      </c>
    </row>
    <row r="12">
      <c r="A12" s="2" t="inlineStr">
        <is>
          <t>Items Table Subtotal (raw $) = GSF x UC</t>
        </is>
      </c>
      <c r="B12" s="21">
        <f>B5*B11</f>
        <v/>
      </c>
    </row>
    <row r="13">
      <c r="A13" s="2" t="inlineStr">
        <is>
          <t>Items Table Subtotal ($000)</t>
        </is>
      </c>
      <c r="B13" s="12">
        <f>ROUND(B12/1000,0)</f>
        <v/>
      </c>
    </row>
    <row r="15">
      <c r="A15" s="13" t="inlineStr">
        <is>
          <t>PAX ROLLUP (computed from items table subtotal, raw $)</t>
        </is>
      </c>
    </row>
    <row r="16">
      <c r="A16" s="2" t="inlineStr">
        <is>
          <t>Subtotal ($)</t>
        </is>
      </c>
      <c r="B16" s="21">
        <f>B12</f>
        <v/>
      </c>
    </row>
    <row r="17">
      <c r="A17" s="2" t="inlineStr">
        <is>
          <t>Contingency (10.0%)</t>
        </is>
      </c>
      <c r="B17" s="21">
        <f>B16*0.10</f>
        <v/>
      </c>
    </row>
    <row r="18">
      <c r="A18" s="2" t="inlineStr">
        <is>
          <t>Total Contract Cost</t>
        </is>
      </c>
      <c r="B18" s="21">
        <f>B16+B17</f>
        <v/>
      </c>
    </row>
    <row r="19">
      <c r="A19" s="2" t="inlineStr">
        <is>
          <t>SIOH (8.0%)</t>
        </is>
      </c>
      <c r="B19" s="21">
        <f>B18*0.08</f>
        <v/>
      </c>
    </row>
    <row r="20">
      <c r="A20" s="2" t="inlineStr">
        <is>
          <t>Total Funded Cost</t>
        </is>
      </c>
      <c r="B20" s="21">
        <f>B18+B19</f>
        <v/>
      </c>
    </row>
    <row r="21">
      <c r="A21" s="2" t="inlineStr">
        <is>
          <t>Design-Build Design (4.0%)</t>
        </is>
      </c>
      <c r="B21" s="21">
        <f>B20*0.04</f>
        <v/>
      </c>
    </row>
    <row r="22">
      <c r="A22" s="2" t="inlineStr">
        <is>
          <t>Total Project Cost ($)</t>
        </is>
      </c>
      <c r="B22" s="21">
        <f>B20+B21</f>
        <v/>
      </c>
    </row>
    <row r="23">
      <c r="A23" s="2" t="inlineStr">
        <is>
          <t>Total Project Cost ($000)</t>
        </is>
      </c>
      <c r="B23" s="12">
        <f>ROUND(B22/1000,0)</f>
        <v/>
      </c>
    </row>
    <row r="24">
      <c r="A24" s="2" t="inlineStr">
        <is>
          <t>Planning and Design (6.0%) (NON ADD)</t>
        </is>
      </c>
      <c r="B24" s="21">
        <f>B22*0.06</f>
        <v/>
      </c>
    </row>
    <row r="26">
      <c r="A26" s="13" t="inlineStr">
        <is>
          <t>RECONCILIATION</t>
        </is>
      </c>
    </row>
    <row r="27">
      <c r="A27" t="inlineStr">
        <is>
          <t>Workbook TPC ($)</t>
        </is>
      </c>
      <c r="B27" s="21">
        <f>B22</f>
        <v/>
      </c>
    </row>
    <row r="28">
      <c r="A28" t="inlineStr">
        <is>
          <t>Locked TPC ($)</t>
        </is>
      </c>
      <c r="B28" s="21">
        <f>B4</f>
        <v/>
      </c>
    </row>
    <row r="29">
      <c r="A29" t="inlineStr">
        <is>
          <t>Delta ($)</t>
        </is>
      </c>
      <c r="B29" s="22">
        <f>B27-B28</f>
        <v/>
      </c>
    </row>
    <row r="30">
      <c r="A30" t="inlineStr">
        <is>
          <t>Workbook TPC ($000)</t>
        </is>
      </c>
      <c r="B30" s="12">
        <f>B23</f>
        <v/>
      </c>
    </row>
    <row r="31">
      <c r="A31" t="inlineStr">
        <is>
          <t>Locked TPC ($000, printed)</t>
        </is>
      </c>
      <c r="B31" s="12">
        <f>ROUND(B4/1000,0)</f>
        <v/>
      </c>
    </row>
    <row r="32">
      <c r="A32" s="2" t="inlineStr">
        <is>
          <t>Delta ($000) - MUST BE 0</t>
        </is>
      </c>
      <c r="B32" s="23">
        <f>B30-B31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8" customWidth="1" min="1" max="1"/>
    <col width="14" customWidth="1" min="2" max="2"/>
    <col width="80" customWidth="1" min="3" max="3"/>
  </cols>
  <sheetData>
    <row r="1">
      <c r="A1" s="3" t="inlineStr">
        <is>
          <t>RATES (PAX Associated Costs and project parameters)</t>
        </is>
      </c>
    </row>
    <row r="3">
      <c r="A3" s="13" t="inlineStr">
        <is>
          <t>PAX Associated Costs (pre-loaded by operator)</t>
        </is>
      </c>
    </row>
    <row r="4">
      <c r="A4" s="2" t="inlineStr">
        <is>
          <t>Contingency</t>
        </is>
      </c>
      <c r="B4" s="24" t="n">
        <v>0.1</v>
      </c>
      <c r="C4" t="inlineStr">
        <is>
          <t>FSRM program-directed; CRB Guidelines May 2024 (REV #15)</t>
        </is>
      </c>
    </row>
    <row r="5">
      <c r="A5" s="2" t="inlineStr">
        <is>
          <t>Supervision Inspection and Overhead (SIOH)</t>
        </is>
      </c>
      <c r="B5" s="24" t="n">
        <v>0.08</v>
      </c>
      <c r="C5" t="inlineStr">
        <is>
          <t>OCONUS FSRM customer-directed for MCIPAC G-F</t>
        </is>
      </c>
    </row>
    <row r="6">
      <c r="A6" s="2" t="inlineStr">
        <is>
          <t>Design Build (DBD) - REQUIRED</t>
        </is>
      </c>
      <c r="B6" s="24" t="n">
        <v>0.04</v>
      </c>
      <c r="C6" t="inlineStr">
        <is>
          <t>UFC 3-730-01 (2024) - applied after Total Funded Cost</t>
        </is>
      </c>
    </row>
    <row r="7">
      <c r="A7" s="2" t="inlineStr">
        <is>
          <t>Planning and Design (P&amp;D) (NON ADD)</t>
        </is>
      </c>
      <c r="B7" s="24" t="n">
        <v>0.06</v>
      </c>
      <c r="C7" t="inlineStr">
        <is>
          <t>Does not roll into TPC</t>
        </is>
      </c>
    </row>
    <row r="9">
      <c r="A9" s="13" t="inlineStr">
        <is>
          <t>Project parameters</t>
        </is>
      </c>
    </row>
    <row r="10">
      <c r="A10" s="2" t="inlineStr">
        <is>
          <t>Area Cost Factor (ACF)</t>
        </is>
      </c>
      <c r="B10" t="n">
        <v>1.85</v>
      </c>
      <c r="C10" t="inlineStr">
        <is>
          <t>UFC 3-701-01 w/Change 7 (25 Jul 2025), Table 4-1, M67400-0004 OCONUS Okinawa</t>
        </is>
      </c>
    </row>
    <row r="11">
      <c r="A11" s="2" t="inlineStr">
        <is>
          <t>LSH Rate (% of PRV)</t>
        </is>
      </c>
      <c r="B11" s="24" t="n">
        <v>0.025</v>
      </c>
      <c r="C11" t="inlineStr">
        <is>
          <t>Local direction at startup</t>
        </is>
      </c>
    </row>
    <row r="12">
      <c r="A12" s="2" t="inlineStr">
        <is>
          <t>JPY/USD Planning Rate</t>
        </is>
      </c>
      <c r="B12" t="n">
        <v>150.4415</v>
      </c>
      <c r="C12" t="inlineStr">
        <is>
          <t>FY26 budget planning rate</t>
        </is>
      </c>
    </row>
    <row r="13">
      <c r="A13" s="2" t="inlineStr">
        <is>
          <t>JPY/USD H.10 Rate (live)</t>
        </is>
      </c>
      <c r="B13" t="inlineStr"/>
      <c r="C13" t="inlineStr">
        <is>
          <t>Verify Federal Reserve H.10 on date of PAX submission</t>
        </is>
      </c>
    </row>
    <row r="14">
      <c r="A14" s="2" t="inlineStr">
        <is>
          <t>Escalation (annual)</t>
        </is>
      </c>
      <c r="B14" s="24" t="n">
        <v>0.021</v>
      </c>
      <c r="C14" t="inlineStr">
        <is>
          <t>OSD FY25 published rate</t>
        </is>
      </c>
    </row>
    <row r="15">
      <c r="A15" s="2" t="inlineStr">
        <is>
          <t>General Requirements</t>
        </is>
      </c>
      <c r="B15" s="24" t="n">
        <v>0.1</v>
      </c>
      <c r="C15" t="inlineStr">
        <is>
          <t>FSRM program-directed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2" customWidth="1" min="1" max="1"/>
    <col width="18" customWidth="1" min="2" max="2"/>
    <col width="70" customWidth="1" min="3" max="3"/>
  </cols>
  <sheetData>
    <row r="1">
      <c r="A1" s="3" t="inlineStr">
        <is>
          <t>REFERENCES (authority cites)</t>
        </is>
      </c>
    </row>
    <row r="3">
      <c r="A3" s="13" t="inlineStr">
        <is>
          <t>Document</t>
        </is>
      </c>
      <c r="B3" s="13" t="inlineStr">
        <is>
          <t>Date / Edition</t>
        </is>
      </c>
      <c r="C3" s="13" t="inlineStr">
        <is>
          <t>Authority for</t>
        </is>
      </c>
    </row>
    <row r="4">
      <c r="A4" s="2" t="inlineStr">
        <is>
          <t>MCO 11000.5</t>
        </is>
      </c>
      <c r="B4" t="inlineStr">
        <is>
          <t>03 Jun 2016</t>
        </is>
      </c>
      <c r="C4" t="inlineStr">
        <is>
          <t>Real Property FSRM Program</t>
        </is>
      </c>
    </row>
    <row r="5">
      <c r="A5" s="2" t="inlineStr">
        <is>
          <t>MCO 11000.12</t>
        </is>
      </c>
      <c r="B5" t="inlineStr">
        <is>
          <t>08 Sep 2014</t>
        </is>
      </c>
      <c r="C5" t="inlineStr">
        <is>
          <t>Real Property Facilities Manual</t>
        </is>
      </c>
    </row>
    <row r="6">
      <c r="A6" s="2" t="inlineStr">
        <is>
          <t>CRB Guidelines (REV #15)</t>
        </is>
      </c>
      <c r="B6" t="inlineStr">
        <is>
          <t>May 2024</t>
        </is>
      </c>
      <c r="C6" t="inlineStr">
        <is>
          <t>Block 9 line-item sequencing</t>
        </is>
      </c>
    </row>
    <row r="7">
      <c r="A7" s="2" t="inlineStr">
        <is>
          <t>UFC 3-701-01 with Change 7</t>
        </is>
      </c>
      <c r="B7" t="inlineStr">
        <is>
          <t>25 Jul 2025</t>
        </is>
      </c>
      <c r="C7" t="inlineStr">
        <is>
          <t>PUC and ACF tables, Equation 3-1 PRV formula</t>
        </is>
      </c>
    </row>
    <row r="8">
      <c r="A8" s="2" t="inlineStr">
        <is>
          <t>UFC 3-730-01</t>
        </is>
      </c>
      <c r="B8" t="inlineStr">
        <is>
          <t>2024</t>
        </is>
      </c>
      <c r="C8" t="inlineStr">
        <is>
          <t>Design-Build contracting; DB Design 4% applied after TFC</t>
        </is>
      </c>
    </row>
    <row r="9">
      <c r="A9" s="2" t="inlineStr">
        <is>
          <t>JED Cost Estimating Guide</t>
        </is>
      </c>
      <c r="B9" t="inlineStr">
        <is>
          <t>Nov 2025</t>
        </is>
      </c>
      <c r="C9" t="inlineStr">
        <is>
          <t>Cost estimating methodology</t>
        </is>
      </c>
    </row>
    <row r="10">
      <c r="A10" s="2" t="inlineStr">
        <is>
          <t>Japan District Design Guide v9</t>
        </is>
      </c>
      <c r="B10" t="inlineStr">
        <is>
          <t>April 2025</t>
        </is>
      </c>
      <c r="C10" t="inlineStr">
        <is>
          <t>Okinawa-specific design criteria</t>
        </is>
      </c>
    </row>
    <row r="12">
      <c r="A12" s="13" t="inlineStr">
        <is>
          <t>NOT CITED</t>
        </is>
      </c>
    </row>
    <row r="13">
      <c r="A13" t="inlineStr">
        <is>
          <t>NAVFAC 11010.44E</t>
        </is>
      </c>
      <c r="B13" t="inlineStr">
        <is>
          <t>INACTIVE</t>
        </is>
      </c>
      <c r="C13" t="inlineStr">
        <is>
          <t>Inactivated by 1987 issuance; not citable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2026-04-29T07:16:44Z</dcterms:created>
  <dcterms:modified xsi:type="dcterms:W3CDTF">2026-04-29T07:16:44Z</dcterms:modified>
</cp:coreProperties>
</file>