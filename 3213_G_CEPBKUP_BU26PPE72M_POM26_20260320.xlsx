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usmc-my.sharepoint-mil.us/personal/anthony_l_potter_ctr_usmc_mil/Documents/Desktop/COST_ESTIMATING/3213/"/>
    </mc:Choice>
  </mc:AlternateContent>
  <xr:revisionPtr revIDLastSave="0" documentId="14_{681EBD3F-93B4-487D-8FEC-577956A94C6B}" xr6:coauthVersionLast="47" xr6:coauthVersionMax="47" xr10:uidLastSave="{00000000-0000-0000-0000-000000000000}"/>
  <bookViews>
    <workbookView xWindow="-120" yWindow="90" windowWidth="29040" windowHeight="15510" tabRatio="500" xr2:uid="{00000000-000D-0000-FFFF-FFFF00000000}"/>
  </bookViews>
  <sheets>
    <sheet name="ESTIMATE" sheetId="1" r:id="rId1"/>
    <sheet name="SCOPE_DETAIL" sheetId="2" r:id="rId2"/>
    <sheet name="PARAMETERS" sheetId="3" r:id="rId3"/>
    <sheet name="DD1391_BLOCK9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7" i="4" l="1"/>
  <c r="B21" i="3"/>
  <c r="G98" i="2"/>
  <c r="B14" i="4" s="1"/>
  <c r="H97" i="2"/>
  <c r="G97" i="2"/>
  <c r="G96" i="2"/>
  <c r="H96" i="2" s="1"/>
  <c r="H98" i="2" s="1"/>
  <c r="G93" i="2"/>
  <c r="H93" i="2" s="1"/>
  <c r="H92" i="2"/>
  <c r="G92" i="2"/>
  <c r="G91" i="2"/>
  <c r="H91" i="2" s="1"/>
  <c r="H90" i="2"/>
  <c r="G90" i="2"/>
  <c r="G89" i="2"/>
  <c r="H89" i="2" s="1"/>
  <c r="H88" i="2"/>
  <c r="G88" i="2"/>
  <c r="G87" i="2"/>
  <c r="H87" i="2" s="1"/>
  <c r="H86" i="2"/>
  <c r="G86" i="2"/>
  <c r="G85" i="2"/>
  <c r="G94" i="2" s="1"/>
  <c r="B13" i="4" s="1"/>
  <c r="H84" i="2"/>
  <c r="G84" i="2"/>
  <c r="H81" i="2"/>
  <c r="G81" i="2"/>
  <c r="G80" i="2"/>
  <c r="H80" i="2" s="1"/>
  <c r="H79" i="2"/>
  <c r="G79" i="2"/>
  <c r="G78" i="2"/>
  <c r="H78" i="2" s="1"/>
  <c r="H77" i="2"/>
  <c r="G77" i="2"/>
  <c r="G76" i="2"/>
  <c r="H76" i="2" s="1"/>
  <c r="H75" i="2"/>
  <c r="G75" i="2"/>
  <c r="G74" i="2"/>
  <c r="H74" i="2" s="1"/>
  <c r="H73" i="2"/>
  <c r="G73" i="2"/>
  <c r="G72" i="2"/>
  <c r="H72" i="2" s="1"/>
  <c r="H71" i="2"/>
  <c r="G71" i="2"/>
  <c r="G70" i="2"/>
  <c r="H70" i="2" s="1"/>
  <c r="H69" i="2"/>
  <c r="G69" i="2"/>
  <c r="G68" i="2"/>
  <c r="H68" i="2" s="1"/>
  <c r="G65" i="2"/>
  <c r="H65" i="2" s="1"/>
  <c r="H64" i="2"/>
  <c r="G64" i="2"/>
  <c r="G63" i="2"/>
  <c r="H63" i="2" s="1"/>
  <c r="H62" i="2"/>
  <c r="G62" i="2"/>
  <c r="G61" i="2"/>
  <c r="H61" i="2" s="1"/>
  <c r="G58" i="2"/>
  <c r="H58" i="2" s="1"/>
  <c r="H57" i="2"/>
  <c r="G57" i="2"/>
  <c r="G56" i="2"/>
  <c r="H56" i="2" s="1"/>
  <c r="H55" i="2"/>
  <c r="G55" i="2"/>
  <c r="G54" i="2"/>
  <c r="H54" i="2" s="1"/>
  <c r="H59" i="2" s="1"/>
  <c r="G51" i="2"/>
  <c r="H51" i="2" s="1"/>
  <c r="H50" i="2"/>
  <c r="G50" i="2"/>
  <c r="G49" i="2"/>
  <c r="H49" i="2" s="1"/>
  <c r="H48" i="2"/>
  <c r="G48" i="2"/>
  <c r="G47" i="2"/>
  <c r="H47" i="2" s="1"/>
  <c r="H46" i="2"/>
  <c r="G46" i="2"/>
  <c r="G45" i="2"/>
  <c r="G52" i="2" s="1"/>
  <c r="B9" i="4" s="1"/>
  <c r="G42" i="2"/>
  <c r="H42" i="2" s="1"/>
  <c r="H41" i="2"/>
  <c r="G41" i="2"/>
  <c r="G40" i="2"/>
  <c r="H40" i="2" s="1"/>
  <c r="H39" i="2"/>
  <c r="G39" i="2"/>
  <c r="G38" i="2"/>
  <c r="H38" i="2" s="1"/>
  <c r="H37" i="2"/>
  <c r="G37" i="2"/>
  <c r="G36" i="2"/>
  <c r="H36" i="2" s="1"/>
  <c r="H35" i="2"/>
  <c r="G35" i="2"/>
  <c r="G43" i="2" s="1"/>
  <c r="B8" i="4" s="1"/>
  <c r="H32" i="2"/>
  <c r="G32" i="2"/>
  <c r="G31" i="2"/>
  <c r="H31" i="2" s="1"/>
  <c r="H30" i="2"/>
  <c r="G30" i="2"/>
  <c r="G29" i="2"/>
  <c r="H29" i="2" s="1"/>
  <c r="H28" i="2"/>
  <c r="G28" i="2"/>
  <c r="G27" i="2"/>
  <c r="H27" i="2" s="1"/>
  <c r="G24" i="2"/>
  <c r="H24" i="2" s="1"/>
  <c r="H23" i="2"/>
  <c r="G23" i="2"/>
  <c r="G22" i="2"/>
  <c r="H22" i="2" s="1"/>
  <c r="H21" i="2"/>
  <c r="H25" i="2" s="1"/>
  <c r="G21" i="2"/>
  <c r="H18" i="2"/>
  <c r="G18" i="2"/>
  <c r="G17" i="2"/>
  <c r="H17" i="2" s="1"/>
  <c r="H16" i="2"/>
  <c r="G16" i="2"/>
  <c r="G15" i="2"/>
  <c r="H15" i="2" s="1"/>
  <c r="H14" i="2"/>
  <c r="G14" i="2"/>
  <c r="G13" i="2"/>
  <c r="H13" i="2" s="1"/>
  <c r="G10" i="2"/>
  <c r="H10" i="2" s="1"/>
  <c r="H9" i="2"/>
  <c r="G9" i="2"/>
  <c r="G8" i="2"/>
  <c r="H8" i="2" s="1"/>
  <c r="H7" i="2"/>
  <c r="G7" i="2"/>
  <c r="G6" i="2"/>
  <c r="H6" i="2" s="1"/>
  <c r="H5" i="2"/>
  <c r="G5" i="2"/>
  <c r="G11" i="2" s="1"/>
  <c r="B33" i="1"/>
  <c r="B32" i="1"/>
  <c r="B31" i="1"/>
  <c r="B30" i="1"/>
  <c r="B29" i="1"/>
  <c r="B28" i="1"/>
  <c r="B34" i="1" s="1"/>
  <c r="B10" i="1"/>
  <c r="H43" i="2" l="1"/>
  <c r="H19" i="2"/>
  <c r="H82" i="2"/>
  <c r="H11" i="2"/>
  <c r="B4" i="4"/>
  <c r="H33" i="2"/>
  <c r="H66" i="2"/>
  <c r="H45" i="2"/>
  <c r="H52" i="2" s="1"/>
  <c r="H85" i="2"/>
  <c r="H94" i="2" s="1"/>
  <c r="G25" i="2"/>
  <c r="B6" i="4" s="1"/>
  <c r="G59" i="2"/>
  <c r="B10" i="4" s="1"/>
  <c r="G66" i="2"/>
  <c r="B11" i="4" s="1"/>
  <c r="G19" i="2"/>
  <c r="B5" i="4" s="1"/>
  <c r="G33" i="2"/>
  <c r="B7" i="4" s="1"/>
  <c r="G82" i="2"/>
  <c r="B12" i="4" s="1"/>
  <c r="G99" i="2" l="1"/>
  <c r="B5" i="1" s="1"/>
  <c r="B6" i="1" s="1"/>
  <c r="B7" i="1" s="1"/>
  <c r="B8" i="1" s="1"/>
  <c r="B9" i="1" s="1"/>
  <c r="B11" i="1" s="1"/>
  <c r="B15" i="4"/>
  <c r="B16" i="4" s="1"/>
  <c r="B17" i="1" l="1"/>
  <c r="B20" i="4" s="1"/>
  <c r="B16" i="1"/>
  <c r="B19" i="4" s="1"/>
  <c r="B15" i="1"/>
  <c r="B18" i="4" s="1"/>
  <c r="B18" i="1" l="1"/>
  <c r="B21" i="4" l="1"/>
  <c r="B24" i="1"/>
  <c r="B19" i="1"/>
  <c r="B26" i="4" s="1"/>
  <c r="B43" i="1"/>
  <c r="B20" i="1" l="1"/>
  <c r="B27" i="4" s="1"/>
  <c r="B25" i="4"/>
  <c r="B24" i="4"/>
</calcChain>
</file>

<file path=xl/sharedStrings.xml><?xml version="1.0" encoding="utf-8"?>
<sst xmlns="http://schemas.openxmlformats.org/spreadsheetml/2006/main" count="677" uniqueCount="425">
  <si>
    <t>SCH-3213  |  COST ESTIMATE ROM  |  LEVEL 3  |  FY27  |  PAX ID 387624  |  Fi Web BU26PPE72M</t>
  </si>
  <si>
    <t>A.  CONSTRUCTION COST</t>
  </si>
  <si>
    <t>Element</t>
  </si>
  <si>
    <t>Amount ($)</t>
  </si>
  <si>
    <t>Formula / Source</t>
  </si>
  <si>
    <t>1.  Base Direct Cost (FY24 CONUS)</t>
  </si>
  <si>
    <t>2.  x ACF 1.85 (Camp Schwab) = ACF-Adjusted Cost</t>
  </si>
  <si>
    <t xml:space="preserve"> =B5 x ACF 1.85  |  UFC 3-701-01 w/Change 7 (25 Jul 2025), Table 4-1 OCONUS, site M67400-0004</t>
  </si>
  <si>
    <t>3.  x Compound Escalation Factor = Escalated Cost (FY27)</t>
  </si>
  <si>
    <t xml:space="preserve"> =B6 x (1.021)^3 = 1.0643  |  FY24 to FY27  |  OSD FY25 published escalation rate, client-confirmed</t>
  </si>
  <si>
    <t>4.  x (1 + General Requirements 10%) = GR Applied</t>
  </si>
  <si>
    <t xml:space="preserve"> =B7 x 1.10  |  General Requirements per FSRM program-directed</t>
  </si>
  <si>
    <t>5.  x (1 + Contingency 10%) = Construction Subtotal</t>
  </si>
  <si>
    <t xml:space="preserve"> ROUND(B8 x 1.10, 0)  |  Level 3 ROM 10%  |  FSRM program-directed</t>
  </si>
  <si>
    <t xml:space="preserve"> PRV $10,893,334 (iNFADS confirmed, RPUID 48879) x 2.5% = $272,333</t>
  </si>
  <si>
    <t>CONSTRUCTION BASE  (Construction Subtotal + LSH)</t>
  </si>
  <si>
    <t xml:space="preserve"> Construction Subtotal + LSH Allowance</t>
  </si>
  <si>
    <t>B.  PROGRAM ADDERS</t>
  </si>
  <si>
    <t>Design (6.0%)</t>
  </si>
  <si>
    <t xml:space="preserve"> Construction Base x 6.0%  |  NAVFAC agency-directed</t>
  </si>
  <si>
    <t xml:space="preserve"> Construction Base x 8.0%  |  OCONUS FSRM customer-directed (NOT standard 7.3%)</t>
  </si>
  <si>
    <t>Construction Management (4.0%)</t>
  </si>
  <si>
    <t xml:space="preserve"> Construction Base x 4.0%  |  NAVFAC agency-directed</t>
  </si>
  <si>
    <t>TOTAL FUNDED COST</t>
  </si>
  <si>
    <t xml:space="preserve"> Construction Base + Design + SIOH + CM</t>
  </si>
  <si>
    <t>Design-Build Design (4.0%) -- Applied AFTER Total Funded</t>
  </si>
  <si>
    <t xml:space="preserve"> Total Funded x 4.0%  |  UFC 3-730-01 (2024)  |  DB design applied after Total Funded per DD Form 1391 Block 9</t>
  </si>
  <si>
    <t>TOTAL PROJECT COST</t>
  </si>
  <si>
    <t xml:space="preserve"> Total Funded + Design-Build Design</t>
  </si>
  <si>
    <t>C.  COST PER SQUARE FOOT</t>
  </si>
  <si>
    <t>Amount</t>
  </si>
  <si>
    <t>Notes</t>
  </si>
  <si>
    <t xml:space="preserve"> Total Funded / 13,484 SF  |  iNFADS confirmed, RPUID 48879</t>
  </si>
  <si>
    <t>D.  UNIFORMAT II LEVEL 2 SUMMARY (BASE DIRECT COSTS)</t>
  </si>
  <si>
    <t>UNIFORMAT II Code / Description</t>
  </si>
  <si>
    <t>Base Direct ($)</t>
  </si>
  <si>
    <t xml:space="preserve"> SUMIF on SCOPE_DETAIL col I = B20</t>
  </si>
  <si>
    <t xml:space="preserve"> SUMIF on SCOPE_DETAIL col I = C10</t>
  </si>
  <si>
    <t xml:space="preserve"> SUMIF on SCOPE_DETAIL col I = D20</t>
  </si>
  <si>
    <t xml:space="preserve"> SUMIF on SCOPE_DETAIL col I = D30</t>
  </si>
  <si>
    <t xml:space="preserve"> SUMIF on SCOPE_DETAIL col I = D50</t>
  </si>
  <si>
    <t xml:space="preserve"> SUMIF on SCOPE_DETAIL col I = F10</t>
  </si>
  <si>
    <t>TOTAL CHECK  (must equal Base Direct B5)</t>
  </si>
  <si>
    <t xml:space="preserve"> Must equal ESTIMATE B5 exactly</t>
  </si>
  <si>
    <t>E.  VERSION HISTORY</t>
  </si>
  <si>
    <t>Version / Date</t>
  </si>
  <si>
    <t>Total Funded ($)</t>
  </si>
  <si>
    <t>v1 (06 Mar 2026)</t>
  </si>
  <si>
    <t>39 items; missing HAZMAT, fire alarm, egress lighting</t>
  </si>
  <si>
    <t>v2 (06 Mar 2026)</t>
  </si>
  <si>
    <t>HAZMAT blanket $80K added; fire alarm/egress added</t>
  </si>
  <si>
    <t>v3 (06 Mar 2026)</t>
  </si>
  <si>
    <t>Superseded</t>
  </si>
  <si>
    <t>HAZMAT corrected to targeted scope; CM 4% added</t>
  </si>
  <si>
    <t>v4 (06 Mar 2026)</t>
  </si>
  <si>
    <t>CCN corrected 61071 to 61010; mail room per MCO 5110.1</t>
  </si>
  <si>
    <t>v5 (19 Mar 2026)</t>
  </si>
  <si>
    <t>v6 (20 Mar 2026)</t>
  </si>
  <si>
    <t>F.  METHODOLOGY AND ASSUMPTIONS</t>
  </si>
  <si>
    <t>1.  Estimate Level</t>
  </si>
  <si>
    <t>Level 3 ROM per UFS 3-740-05 (2 Feb 2026). Non-mandatory supplement; For Information Only. No accuracy percentage ranges cited.</t>
  </si>
  <si>
    <t>2.  Scope Basis</t>
  </si>
  <si>
    <t>3.  Area Cost Factor</t>
  </si>
  <si>
    <t>4.  Escalation</t>
  </si>
  <si>
    <t>2.1%/yr per OSD FY25 published escalation rate, client-confirmed. FY24 base to FY27 target = 3 years. Compound factor: (1.021)^3 = 1.0643 (live formula in PARAMETERS B21).</t>
  </si>
  <si>
    <t>5.  General Requirements</t>
  </si>
  <si>
    <t>10.0%, FSRM program-directed.</t>
  </si>
  <si>
    <t>6.  Contingency</t>
  </si>
  <si>
    <t>10.0%, FSRM program-directed, Level 3 ROM. UFS 3-740-05 (2 Feb 2026).</t>
  </si>
  <si>
    <t>7.  LSH</t>
  </si>
  <si>
    <t>PRV = $10,893,334 (iNFADS confirmed, RPUID 48879, GSF 13,484). Client-directed use of iNFADS confirmed PRV in lieu of UFC 3-701-01 formula-calculated PRV ($8,085,190, FAC 2171/6102). LSH = PRV x 2.5% = $272,333. Authority: NAVFAC 11010.44E CH-1; MCO 11000.12 (08 Sep 2014); UFC 3-701-01 Equation 3-1.</t>
  </si>
  <si>
    <t>8.  Program Adders</t>
  </si>
  <si>
    <t>9.  Unit Cost Basis</t>
  </si>
  <si>
    <t>10.  Items Requiring Verification</t>
  </si>
  <si>
    <t>11.  Methodology Deviations</t>
  </si>
  <si>
    <t>Contingency 10%: FSRM program-directed. SIOH 8.0%: OCONUS FSRM customer-directed fixed rate (not standard 7.3%). LSH basis: iNFADS confirmed PRV $10,893,334 (RPUID 48879) used per client direction in lieu of UFC 3-701-01 Equation 3-1 formula PRV. Formula cross-check: GSF 13,484 x FAC 2171 PUC $448/SF = $6,040,832 x ACF 1.85 = $11,175,539 x HF(1.0) x PD(1.09) x SIOH(1.08) x CF(1.05) = $13,800,699. Delta: iNFADS PRV $10,893,334 is $2,907,365 lower than formula PRV; consistent with pre-Change 7 PUC cycle recorded in iNFADS. LSH at iNFADS basis: $272,333. Formula basis LSH: $345,017. Delta: $72,684. iNFADS governs per client direction.</t>
  </si>
  <si>
    <t>12.  Prepared By</t>
  </si>
  <si>
    <t>13.  Estimate Version History</t>
  </si>
  <si>
    <t>SCH-3213  |  SCOPE DETAIL &amp; QUANTITY TAKEOFF  |  BASE YEAR FY24 CONUS DIRECT COSTS  |  Fi Web BU26PPE72M</t>
  </si>
  <si>
    <t xml:space="preserve"> Blue = confirmed scope inputs (Qty, Unit Cost). Black = formula. Green = cross-sheet pull. Yellow background = JPY rate only (verify before submission).</t>
  </si>
  <si>
    <t>Item</t>
  </si>
  <si>
    <t>Group</t>
  </si>
  <si>
    <t>Work Description</t>
  </si>
  <si>
    <t>Qty</t>
  </si>
  <si>
    <t>Unit</t>
  </si>
  <si>
    <t>Unit Cost
(FY24 CONUS)</t>
  </si>
  <si>
    <t>Extended
Cost</t>
  </si>
  <si>
    <t>JPY
Equiv.</t>
  </si>
  <si>
    <t>UNIFORMAT
II Level 2</t>
  </si>
  <si>
    <t>Cost Basis / Notes</t>
  </si>
  <si>
    <t>1.  TELECOM INFRASTRUCTURE MODERNIZATION</t>
  </si>
  <si>
    <t>Telecom</t>
  </si>
  <si>
    <t>Demo existing telecom equipment, racks, cabling, and legacy infrastructure in telecom room</t>
  </si>
  <si>
    <t>LS</t>
  </si>
  <si>
    <t>D50</t>
  </si>
  <si>
    <t>RS Means FY24 CONUS: Equipment and cable demolition, telecom room. RSM 28 05 05.</t>
  </si>
  <si>
    <t>RS Means FY24 CONUS: Telecom room build-out, commercial, complete. RSM 28 05 13.</t>
  </si>
  <si>
    <t>Install OSP fiber optic cable from base telecom demarcation point to building telecom room</t>
  </si>
  <si>
    <t>RS Means FY24 CONUS: OSP fiber, includes conduit, pull boxes, termination. RSM 27 13 23.</t>
  </si>
  <si>
    <t>EA</t>
  </si>
  <si>
    <t>RS Means FY24 CONUS: Cat6A horizontal cable, pull, terminate, test, 90 LF avg run. RSM 27 15 43.</t>
  </si>
  <si>
    <t>RS Means FY24 CONUS: Quad data outlet, flush mounted, complete. RSM 27 15 43.</t>
  </si>
  <si>
    <t>Building grounding system verification and upgrade for telecom modernization per TIA-607-C</t>
  </si>
  <si>
    <t>RS Means FY24 CONUS: Telecom grounding, commercial building, per TIA-607-C. RSM 26 05 26.</t>
  </si>
  <si>
    <t>2.  S-2 VAULT CONSTRUCTION - TWO VAULT SPACES</t>
  </si>
  <si>
    <t>S-2 Vault</t>
  </si>
  <si>
    <t>C10</t>
  </si>
  <si>
    <t>RS Means FY24 CONUS: CMU reinforced vault wall, 8-in block, grouted solid. RSM 04 22 00.</t>
  </si>
  <si>
    <t>Direct procurement: Hamilton CI-5 Class V vault door, TQL Global shipment, all-in unit cost confirmed.</t>
  </si>
  <si>
    <t>RS Means FY24 CONUS: IDS zone sensor package, vault, 2-zone config. RSM 28 16 16.</t>
  </si>
  <si>
    <t>RS Means FY24 CONUS: Vault electrical package, lighting and power, per space. RSM 26 05 19.</t>
  </si>
  <si>
    <t>RS Means FY24 CONUS: Vault HVAC isolation, supply/exhaust with fire/smoke damper, per vault. RSM 23 33 00.</t>
  </si>
  <si>
    <t>RS Means FY24 CONUS: VCT flooring and interior paint, per room, commercial. RSM 09 65 13.</t>
  </si>
  <si>
    <t>3.  SIPR NETWORK RACK INSTALLATION</t>
  </si>
  <si>
    <t>SIPR</t>
  </si>
  <si>
    <t>RS Means FY24 CONUS: SIPR-capable wall rack enclosure, lockable, with grounding, TEMPEST compliant. RSM 27 11 13.</t>
  </si>
  <si>
    <t>RS Means FY24 CONUS: Single-mode fiber in conduit, terminate both ends. RSM 27 13 23.</t>
  </si>
  <si>
    <t>RS Means FY24 CONUS: Data outlet, quad, flush mounted, complete. RSM 27 15 43.</t>
  </si>
  <si>
    <t>RS Means FY24 CONUS: Conduit and cable tray, SIPR zone separation, complete. RSM 26 05 33.</t>
  </si>
  <si>
    <t>4.  PATHWAY - BN CONFERENCE ROOM TO S-2 VAULT</t>
  </si>
  <si>
    <t>Pathway</t>
  </si>
  <si>
    <t>RS Means FY24 CONUS: Saw cut opening in CMU/concrete wall, structural header, complete. RSM 03 30 00.</t>
  </si>
  <si>
    <t>New security-rated door/frame/hardware for vault access pathway between Bn Conference Room and S-2 vault</t>
  </si>
  <si>
    <t>RS Means FY24 CONUS: HM door 3x7, frame, lever hardware, complete. RSM 08 11 13.</t>
  </si>
  <si>
    <t>New partition walls to define pathway corridor between Bn Conference Room and S-2 vault</t>
  </si>
  <si>
    <t>RS Means FY24 CONUS: GWB stud partition, 3-5/8-in metal stud, 10-ft height, complete. RSM 09 29 00.</t>
  </si>
  <si>
    <t>RS Means FY24 CONUS: VCT and interior paint, corridor, commercial grade. RSM 09 65 13.</t>
  </si>
  <si>
    <t>RS Means FY24 CONUS: Smoke detector and notification appliance, addressable, complete. RSM 28 31 11.</t>
  </si>
  <si>
    <t>Exit sign addition/relocation for new egress path through corridor per NFPA 101 / IBC Chapter 10</t>
  </si>
  <si>
    <t>RS Means FY24 CONUS: LED exit sign, wall/ceiling mount, complete. RSM 26 53 13.</t>
  </si>
  <si>
    <t>5.  CONSTRUCT 6 PRIVATE OFFICES</t>
  </si>
  <si>
    <t>Offices</t>
  </si>
  <si>
    <t>RS Means FY24 CONUS: GWB partition, 3-5/8-in stud, 10-ft height, per office bay. RSM 09 29 00.</t>
  </si>
  <si>
    <t>RS Means FY24 CONUS: Branch circuit, 4 outlets + 2 switches + 2 LED fixtures per office. RSM 26 05 19.</t>
  </si>
  <si>
    <t>RS Means FY24 CONUS: Battery-backed egress light, wall mount, complete. RSM 26 53 16.</t>
  </si>
  <si>
    <t>RS Means FY24 CONUS: Smoke detector + notification appliance, addressable, per office. RSM 28 31 11.</t>
  </si>
  <si>
    <t>RS Means FY24 CONUS: VCT 12x12, commercial grade, including adhesive and base. RSM 09 65 13.</t>
  </si>
  <si>
    <t>RS Means FY24 CONUS: Interior latex paint, 2 coats, walls and ceiling per office. RSM 09 91 13.</t>
  </si>
  <si>
    <t>6.  EOD OFFICE PARTITION</t>
  </si>
  <si>
    <t>EOD Office</t>
  </si>
  <si>
    <t>New gypsum stud partitions for EOD office space division</t>
  </si>
  <si>
    <t>RS Means FY24 CONUS: GWB partition, 3-5/8-in stud, 10-ft height, complete. RSM 09 29 00.</t>
  </si>
  <si>
    <t>RS Means FY24 CONUS: Branch circuit extension, 4 outlets + 2 switches + 2 LED fixtures. RSM 26 05 19.</t>
  </si>
  <si>
    <t>Emergency egress lighting for new EOD partitioned spaces per NFPA 101 / UFC 3-530-01</t>
  </si>
  <si>
    <t>RS Means FY24 CONUS: Battery-backed egress light, wall mount, 2 EA. RSM 26 53 16.</t>
  </si>
  <si>
    <t>RS Means FY24 CONUS: Smoke detector + notification appliance, addressable, 2 EA. RSM 28 31 11.</t>
  </si>
  <si>
    <t>RS Means FY24 CONUS: VCT and 2-coat interior paint, commercial, LS per space. RSM 09 65 13.</t>
  </si>
  <si>
    <t>Exit sign relocation for new EOD partition egress configuration per NFPA 101 / IBC Chapter 10</t>
  </si>
  <si>
    <t>7.  CONSTRUCT SECURE STORAGE - UNIT MAIL ROOM</t>
  </si>
  <si>
    <t>Mail Room</t>
  </si>
  <si>
    <t>RS Means FY24 CONUS: GWB partition, 3-5/8-in stud, 10-ft height, LS for mail room enclosure. RSM 09 29 00.</t>
  </si>
  <si>
    <t>Security door/frame/lockset/closer for secure mail room</t>
  </si>
  <si>
    <t>RS Means FY24 CONUS: HM door with security lockset, closer, and reinforced frame. RSM 08 11 13.</t>
  </si>
  <si>
    <t>RS Means FY24 CONUS: Branch circuit, 2 outlets + 2 LED fixtures, complete. RSM 26 05 19.</t>
  </si>
  <si>
    <t>RS Means FY24 CONUS: Addressable smoke detector, complete. RSM 28 31 11.</t>
  </si>
  <si>
    <t>RS Means FY24 CONUS: VCT and 2-coat interior paint, commercial. RSM 09 65 13.</t>
  </si>
  <si>
    <t>8.  HAZARDOUS MATERIALS - SURVEY AND ABATEMENT</t>
  </si>
  <si>
    <t>HAZMAT</t>
  </si>
  <si>
    <t>F10</t>
  </si>
  <si>
    <t>RS Means FY24 CONUS: LBP inspection and risk assessment, commercial building, 13,484 SF. RSM 02 82 16.</t>
  </si>
  <si>
    <t>SF</t>
  </si>
  <si>
    <t>Bhate 2001 confirmed: H2, 570 SF, 4% Chrysotile, non-friable, good condition. Abatement triggered by confirmed floor demolition scope. RS Means FY24 CONUS RSM 02 82 13.13.</t>
  </si>
  <si>
    <t>HAZMAT contractor mobilization, containment setup, negative air, air monitoring, and post-abatement clearance testing</t>
  </si>
  <si>
    <t>RS Means FY24 CONUS: HAZMAT contractor mobilization, commercial abatement project, complete. RSM 02 82 13.</t>
  </si>
  <si>
    <t>Level 3 ROM allowance $5/SF per UFC 3-470-06 guidance. Included in hard scope. Confirm or remove at design following re-inspection per Item 43. RS Means FY24 CONUS: ACM ceiling/insulation abatement allowance.</t>
  </si>
  <si>
    <t>9.  HVAC FULL SYSTEM REPLACEMENT</t>
  </si>
  <si>
    <t>HVAC</t>
  </si>
  <si>
    <t>D30</t>
  </si>
  <si>
    <t>RS Means FY24 CONUS: Mechanical equipment demolition and disposal, central chilled water plant, 80-100 ton class. RSM 15 21 05.</t>
  </si>
  <si>
    <t>RS Means FY24 CONUS: Sheet metal ductwork demolition, existing commercial building, per SF floor area. RSM 23 07 13.</t>
  </si>
  <si>
    <t>RS Means FY24 CONUS: Above-ground storage tank removal and disposal, 240-gal steel tank, includes transport. RSM 02 82 13.</t>
  </si>
  <si>
    <t>RS Means FY24 CONUS: Compressed air system demolition, piping removal, existing building. RSM 15 21 05.</t>
  </si>
  <si>
    <t>RS Means FY24 CONUS: Air-cooled chiller, 80-100 ton, complete with refrigerant charge, controls, and commissioning. RSM 23 64 16.</t>
  </si>
  <si>
    <t>RS Means FY24 CONUS: Air handling unit, horizontal, 5,000-8,000 CFM range, complete. RSM 23 74 33.</t>
  </si>
  <si>
    <t>RS Means FY24 CONUS: Centrifugal pump, base-mounted, 1.5-3 HP, complete with fittings and starters. RSM 23 21 13.</t>
  </si>
  <si>
    <t>RS Means FY24 CONUS: Duct insertion electric heating coil unit, commercial, complete. RSM 23 83 16.</t>
  </si>
  <si>
    <t>RS Means FY24 CONUS: Copper pipe, insulated, chilled water distribution, 2-in dia avg, 350 LF estimated. RSM 23 21 13.16.</t>
  </si>
  <si>
    <t>RS Means FY24 CONUS: HVAC ductwork system, supply and return, commercial, complete per SF floor area. RSM 23 31 13.</t>
  </si>
  <si>
    <t>RS Means FY24 CONUS: Power roof ventilator, centrifugal, 1,000-15,000 CFM, complete. RSM 23 34 23.</t>
  </si>
  <si>
    <t>RS Means FY24 CONUS: Gravity roof ventilator, 300-500 CFM, complete. RSM 23 34 16.</t>
  </si>
  <si>
    <t>RS Means FY24 CONUS: Centrifugal hanger-mounted exhaust fan, commercial, complete. RSM 23 34 13.</t>
  </si>
  <si>
    <t>RS Means FY24 CONUS: DDC HVAC controls, commercial building, 24 zones complete. RSM 25 30 00.</t>
  </si>
  <si>
    <t>10.  PLUMBING FULL REPLACEMENT AND RESTROOM RENOVATION</t>
  </si>
  <si>
    <t>Plumbing</t>
  </si>
  <si>
    <t>Demo existing cast iron sanitary DWV piping, floor drains, and cleanouts building-wide; original 1984 construction, 42 years old; per 1st floor piping plan Sheet 8-20 and drain piping isometric Sheet 9-20</t>
  </si>
  <si>
    <t>D20</t>
  </si>
  <si>
    <t>RS Means FY24 CONUS: Cast iron pipe demolition, DWV system, existing commercial building, per SF. RSM 02 41 19.</t>
  </si>
  <si>
    <t>RS Means FY24 CONUS: PVC DWV system, commercial building, complete per SF floor area. RSM 22 11 16.</t>
  </si>
  <si>
    <t>Demo existing domestic water piping (cold water supply and domestic hot water distribution) building-wide; all branch piping serving restrooms, mech room, hose bibs, and service sink; per piping plan Sheet 8-20</t>
  </si>
  <si>
    <t>RS Means FY24 CONUS: Domestic water piping demolition, existing commercial building, per SF. RSM 02 41 19.</t>
  </si>
  <si>
    <t>RS Means FY24 CONUS: Copper domestic cold water distribution, commercial, per SF floor area. RSM 22 11 13.</t>
  </si>
  <si>
    <t>RS Means FY24 CONUS: PVC SDR-35 site sewer, 6-in dia, 50 LF estimated, includes excavation and backfill. RSM 33 31 13.</t>
  </si>
  <si>
    <t>RS Means FY24 CONUS: Commercial electric water heater, 80-100 gal, furnished and installed complete. RSM 22 33 30.</t>
  </si>
  <si>
    <t>RS Means FY24 CONUS: Fixture replacement package per schedule Sheet 7-20. WC $1,250 EA, urinal $1,000 EA, lavatory $900 EA, shower $1,900 EA, service sink $1,100 EA. RSM 22 41 13.</t>
  </si>
  <si>
    <t>RS Means FY24 CONUS: Ceramic tile floor $18/SF (500 SF = $9,000) and wall $16/SF (1,000 SF = $16,000). RSM 09 30 13.</t>
  </si>
  <si>
    <t>RS Means FY24 CONUS: Restroom accessories, commercial grade, 6 spaces x $867 avg. RSM 10 28 16.</t>
  </si>
  <si>
    <t>RS Means FY24 CONUS: LED recessed fixture with box, commercial, complete with wiring. RSM 26 51 00.</t>
  </si>
  <si>
    <t>11.  OVERHEAD DOORS AND AIR CURTAINS</t>
  </si>
  <si>
    <t>Doors</t>
  </si>
  <si>
    <t>B20</t>
  </si>
  <si>
    <t>RS Means FY24 CONUS: Overhead sectional steel door, commercial, 10x10 opening, complete with hardware and motor operator. RSM 08 33 23.</t>
  </si>
  <si>
    <t>RS Means FY24 CONUS: Commercial air curtain, 36-in width, heated, complete with electrical connection. RSM 23 34 43.</t>
  </si>
  <si>
    <t>TOTAL BASE DIRECT COST (FY24 CONUS Pre-ACF)</t>
  </si>
  <si>
    <t>SCH-3213  |  COST ESTIMATE PARAMETERS  |  LEVEL 3 ROM  |  FY27  |  PAX ID 387624  |  Fi Web BU26PPE72M</t>
  </si>
  <si>
    <t>PROJECT IDENTIFICATION</t>
  </si>
  <si>
    <t>Parameter</t>
  </si>
  <si>
    <t>Value</t>
  </si>
  <si>
    <t>Source / Authority</t>
  </si>
  <si>
    <t>Estimate Title</t>
  </si>
  <si>
    <t>SCH-3213 CLB-4 HQ Conversion</t>
  </si>
  <si>
    <t>Text</t>
  </si>
  <si>
    <t>DD Form 1391 / PAX ID 387624</t>
  </si>
  <si>
    <t>Building / Installation</t>
  </si>
  <si>
    <t>SCH-3213 | Camp Schwab, Okinawa, Japan</t>
  </si>
  <si>
    <t>MCIPAC G-F / Camp Schwab</t>
  </si>
  <si>
    <t>Supported Units</t>
  </si>
  <si>
    <t>CLB-4 | H&amp;S, CLB-4, CLR-3, 3MLG</t>
  </si>
  <si>
    <t>Primary: CLB-4 | Secondary: H&amp;S, CLR-3, 3MLG</t>
  </si>
  <si>
    <t>PAX ID</t>
  </si>
  <si>
    <t>ID</t>
  </si>
  <si>
    <t>PAX System - confirmed</t>
  </si>
  <si>
    <t>Fi Web Project Number</t>
  </si>
  <si>
    <t>BU26PPE72M</t>
  </si>
  <si>
    <t>Fi Web - confirmed | BU26PPE72M</t>
  </si>
  <si>
    <t>Primary CCN</t>
  </si>
  <si>
    <t>61010</t>
  </si>
  <si>
    <t>CCN</t>
  </si>
  <si>
    <t>61010 BATTALION/SQUADRON HQ (MARCOR) - UFC 3-701-01. NOT 61071.</t>
  </si>
  <si>
    <t>Estimate Date</t>
  </si>
  <si>
    <t>08 March 2026</t>
  </si>
  <si>
    <t>Date</t>
  </si>
  <si>
    <t>Estimate Level</t>
  </si>
  <si>
    <t>Level 3 ROM</t>
  </si>
  <si>
    <t>UFS 3-740-05 (2 Feb 2026) - non-mandatory supplement, For Information Only</t>
  </si>
  <si>
    <t>COST PARAMETERS  (BLUE = USER INPUT  |  FORMULA ROWS = CALCULATED)</t>
  </si>
  <si>
    <t>Base Year</t>
  </si>
  <si>
    <t>FY</t>
  </si>
  <si>
    <t>FY24 CONUS base costs</t>
  </si>
  <si>
    <t>Target Fiscal Year</t>
  </si>
  <si>
    <t>FY27 construction start</t>
  </si>
  <si>
    <t>Area Cost Factor (ACF)</t>
  </si>
  <si>
    <t>x</t>
  </si>
  <si>
    <t>UFC 3-701-01 w/Change 7 (25 Jul 2025), Table 4-1 OCONUS, site M67400-0004</t>
  </si>
  <si>
    <t>Escalation Rate (annual)</t>
  </si>
  <si>
    <t>%</t>
  </si>
  <si>
    <t>OSD FY25 published construction escalation rate, client-confirmed</t>
  </si>
  <si>
    <t>Escalation Years</t>
  </si>
  <si>
    <t>Yrs</t>
  </si>
  <si>
    <t>FY24 base to FY27 target = 3 years</t>
  </si>
  <si>
    <t>Compound Escalation Factor</t>
  </si>
  <si>
    <t>Factor</t>
  </si>
  <si>
    <t xml:space="preserve"> =(1+0.021)^3 = 1.0643 | FY24 to FY27 | Live formula</t>
  </si>
  <si>
    <t>General Requirements</t>
  </si>
  <si>
    <t>FSRM program-directed</t>
  </si>
  <si>
    <t>Contingency</t>
  </si>
  <si>
    <t>Level 3 ROM - FSRM program-directed 10%</t>
  </si>
  <si>
    <t>LSH Rate</t>
  </si>
  <si>
    <t>DoW policy - 2.5% of PRV | NAVFAC 11010.44E CH-1</t>
  </si>
  <si>
    <t>Design</t>
  </si>
  <si>
    <t>NAVFAC agency-directed - 6%</t>
  </si>
  <si>
    <t>SIOH</t>
  </si>
  <si>
    <t>OCONUS FSRM customer-directed fixed rate - 8.0% (NOT standard 7.3%)</t>
  </si>
  <si>
    <t>Construction Management (CM)</t>
  </si>
  <si>
    <t>Agency-directed - 4%</t>
  </si>
  <si>
    <t>Design-Build Design</t>
  </si>
  <si>
    <t>Applied AFTER Total Funded per DD Form 1391 Block 9 | UFC 3-730-01</t>
  </si>
  <si>
    <t>Total Building GSF (iNFADS)</t>
  </si>
  <si>
    <t>iNFADS AE Worksheet RPUID 48879 - AE floor plan 10/21/2025</t>
  </si>
  <si>
    <t>EXCHANGE RATE</t>
  </si>
  <si>
    <t>JPY / USD Exchange Rate</t>
  </si>
  <si>
    <t>JPY/USD</t>
  </si>
  <si>
    <t>PLACEHOLDER - VERIFY per Federal Reserve H.10 or Oanda.com before submission. JPY column is display only; not used in ROM formula chain.</t>
  </si>
  <si>
    <t>PRV / LSH CALCULATION</t>
  </si>
  <si>
    <t>Building GSF (confirmed iNFADS)</t>
  </si>
  <si>
    <t>iNFADS RPUID 48879 - confirmed</t>
  </si>
  <si>
    <t>PRV - iNFADS Confirmed (RPUID 48879)</t>
  </si>
  <si>
    <t>$</t>
  </si>
  <si>
    <t>iNFADS confirmed RPUID 48879 | MCB Camp S.D. Butler Okinawa | AE Site Visit 04 Mar 2024. Client-directed use in lieu of UFC 3-701-01 formula PRV ($8,085,190, FAC 2171/6102). See ESTIMATE Section F Item 11.</t>
  </si>
  <si>
    <t>NOTE: PRV deviation</t>
  </si>
  <si>
    <t>iNFADS PRV used per client direction. Formula PRV (FAC 2171 $473/SF + FAC 6102 $473/SF per UFC 3-701-01 C7 Table 3) = $8,085,190. Delta = $2,808,144 (PRV). LSH delta = $70,204. Documented in ESTIMATE Section F Item 11.</t>
  </si>
  <si>
    <t>LSH (2.5% of PRV)</t>
  </si>
  <si>
    <t xml:space="preserve"> =PRV $10,893,334 x 2.5% = $272,333.35 | Hardcoded as integer 272,333 per G-24 | NAVFAC 11010.44E CH-1 | ESTIMATE B10 references this cell</t>
  </si>
  <si>
    <t>KEY NOTES</t>
  </si>
  <si>
    <t>Escalation: 2.1%/yr OSD FY25 published escalation rate, client-confirmed. FY26/FY27 use 2.1% as placeholder pending OSD publication.</t>
  </si>
  <si>
    <t>SIOH: 8.0% is the customer-directed OCONUS FSRM fixed rate for MCIPAC. Not the standard DoW 7.3%.</t>
  </si>
  <si>
    <t>Contingency: 10% is the FSRM program-directed rate for Level 3 ROM.</t>
  </si>
  <si>
    <t>DB Design (4%) is applied AFTER Total Funded Cost per DD Form 1391 Block 9 convention | UFC 3-730-01.</t>
  </si>
  <si>
    <t>PRV: iNFADS confirmed $10,893,334 (RPUID 48879, AE Site Visit 04 Mar 2024). Client-directed use per DoW policy; deviation from formula PRV documented in ESTIMATE Section F Item 11.</t>
  </si>
  <si>
    <t>Fi Web Project Number: BU26PPE72M - confirmed.</t>
  </si>
  <si>
    <t>CCN: 61010 (Battalion/Squadron HQ, MARCOR) - NOT 61071.</t>
  </si>
  <si>
    <t>HAZMAT: 2001 Bhate Environmental survey confirmed ONE ACM (H2 rose tile 570 SF, 4% Chrysotile, non-friable, Rooms 8/23). PWD/ENV re-inspection required pre-design. LBP survey required.</t>
  </si>
  <si>
    <t>Partitions built over existing workbench/shelf infrastructure per client direction - no bench demo in scope.</t>
  </si>
  <si>
    <t xml:space="preserve"> All amounts in $000s per DD Form 1391 convention. All formula rows pull from ESTIMATE or PARAMETERS. One UNIFORMAT II code per child line.</t>
  </si>
  <si>
    <t>Cost Element</t>
  </si>
  <si>
    <t>Amount ($000s)</t>
  </si>
  <si>
    <t>1.  Telecom Infrastructure Modernization</t>
  </si>
  <si>
    <t xml:space="preserve"> UNIFORMAT II: D50</t>
  </si>
  <si>
    <t>2.  S-2 Vault Construction -- 2 Vault Spaces</t>
  </si>
  <si>
    <t xml:space="preserve"> UNIFORMAT II: C10</t>
  </si>
  <si>
    <t>3.  SIPR Network Rack Installation</t>
  </si>
  <si>
    <t>4.  Pathway -- Bn Conference Room to S-2 Vault</t>
  </si>
  <si>
    <t>5.  Construct 6 Private Offices</t>
  </si>
  <si>
    <t>6.  EOD Office Partition</t>
  </si>
  <si>
    <t>7.  Construct Secure Storage -- Unit Mail Room</t>
  </si>
  <si>
    <t>8.  Hazardous Materials -- Survey and Abatement</t>
  </si>
  <si>
    <t xml:space="preserve"> UNIFORMAT II: F10</t>
  </si>
  <si>
    <t>9.  HVAC Full System Replacement</t>
  </si>
  <si>
    <t xml:space="preserve"> UNIFORMAT II: D30</t>
  </si>
  <si>
    <t>10.  Plumbing Full Replacement and Restroom Renovation</t>
  </si>
  <si>
    <t xml:space="preserve"> UNIFORMAT II: D20</t>
  </si>
  <si>
    <t>11.  Overhead Doors and Air Curtains</t>
  </si>
  <si>
    <t xml:space="preserve"> UNIFORMAT II: B20</t>
  </si>
  <si>
    <t>Subtotal  (Base Direct x ACF x Escalation x Gen. Requirements)</t>
  </si>
  <si>
    <t xml:space="preserve"> From ESTIMATE tab B8 / 1000 -- pre-contingency subtotal</t>
  </si>
  <si>
    <t>Contingency (10.0%) -- Level 3 ROM, FSRM Program-Directed</t>
  </si>
  <si>
    <t xml:space="preserve"> 10% of Gen Req-applied subtotal  |  FSRM program-directed  |  Level 3 ROM</t>
  </si>
  <si>
    <t>Life Safety and Health (LSH) -- 2.5% of PRV</t>
  </si>
  <si>
    <t xml:space="preserve"> PRV = $10,893,334  |  iNFADS RPUID 48879  |  MCO 11000.12 (08 Sep 2014)  |  NAVFAC 11010.44E CH-1</t>
  </si>
  <si>
    <t>Design (6.0%) -- Applied to Construction Base</t>
  </si>
  <si>
    <t xml:space="preserve"> 6.0% of Construction Base  |  NAVFAC agency-directed</t>
  </si>
  <si>
    <t>SIOH (8.0%) -- OCONUS FSRM Customer-Directed Rate</t>
  </si>
  <si>
    <t xml:space="preserve"> 8.0% of Construction Base  |  OCONUS FSRM customer-directed (NOT standard 7.3%)</t>
  </si>
  <si>
    <t xml:space="preserve"> 4.0% of Construction Base  |  NAVFAC agency-directed</t>
  </si>
  <si>
    <t>CLASSIFICATION OF WORK</t>
  </si>
  <si>
    <t xml:space="preserve"> 100% of Total Funded  |  10 U.S.C. Section 2802</t>
  </si>
  <si>
    <t xml:space="preserve"> 100% SRM  |  MCO 11000.12  |  DoD 4270.5-M</t>
  </si>
  <si>
    <t xml:space="preserve"> UFC 3-730-01 (2024)  |  DB design applied after Total Funded per DD Form 1391 Block 9</t>
  </si>
  <si>
    <t>LOCKED PARAMETERS  (DO NOT CHANGE WITHOUT WRITTEN DIRECTION)</t>
  </si>
  <si>
    <t>1.85 -- Camp Schwab per UFC 3-701-01 w/Change 7 (25 Jul 2025), Table 4-1</t>
  </si>
  <si>
    <t>2.1%/yr  |  FY24 to FY27  |  (1.021)^3 = 1.0643  |  OSD FY25 published rate</t>
  </si>
  <si>
    <t>10.0%  |  FSRM program-directed</t>
  </si>
  <si>
    <t>10.0%  |  FSRM program-directed  |  Level 3 ROM</t>
  </si>
  <si>
    <t>8.0%  |  OCONUS FSRM customer-directed (NOT standard 7.3%)</t>
  </si>
  <si>
    <t>6.0% of Construction Base  |  NAVFAC agency-directed</t>
  </si>
  <si>
    <t>4.0% of Construction Base  |  Agency-directed</t>
  </si>
  <si>
    <t>4.0% of Total Funded  |  Applied AFTER Total Funded  |  UFC 3-730-01 (2024)</t>
  </si>
  <si>
    <t>2.5% of PRV  |  PRV = $10,893,334 iNFADS confirmed RPUID 48879</t>
  </si>
  <si>
    <t>73 discrete line items across 11 scope groups (Telecom, S-2 Vault, SIPR, Pathway, Private Offices, EOD Office, Mail Room, HAZMAT, HVAC Full Replacement, Plumbing Full Replacement and Restroom Renovation, Overhead Doors and Air Curtains). Conversion of existing admin/maintenance building to CLB-4 Battalion HQ including full HVAC and plumbing system replacement per mechanical engineering evaluation 19 Mar 2026.</t>
  </si>
  <si>
    <t xml:space="preserve"> Sum of all scope items - SCOPE_DETAIL tab (cross-sheet)</t>
  </si>
  <si>
    <t>6.  + LSH Allowance (2.5% of PRV - iNFADS RPUID 48879)</t>
  </si>
  <si>
    <t>SIOH (8.0% - OCONUS FSRM Customer-Directed)</t>
  </si>
  <si>
    <t>Design-Build Design (4.0%) - Applied AFTER Total Funded</t>
  </si>
  <si>
    <t>Cost / Whole Building GSF (13,484 SF - partial renovation benchmark)</t>
  </si>
  <si>
    <t>B20  Exterior Enclosure - Overhead Doors and Air Curtains (Group 11)</t>
  </si>
  <si>
    <t>C10  Interior Construction - Vault, Pathway, Offices, EOD Office, Mail Room (Groups 2-7)</t>
  </si>
  <si>
    <t>D20  Plumbing - Full Replacement and Restroom Renovation (Group 10)</t>
  </si>
  <si>
    <t>D30  HVAC - Full System Replacement (Group 9)</t>
  </si>
  <si>
    <t>D50  Electrical / Communications - Telecom, SIPR, Restroom Lighting (Groups 1, 3, partial 10)</t>
  </si>
  <si>
    <t>F10  Special Construction - Hazardous Materials (Group 8)</t>
  </si>
  <si>
    <t>Design 6% - NAVFAC agency-directed. SIOH 8.0% - OCONUS FSRM customer-directed (NOT standard 7.3%; the 8.0% adder is separate from the 1.08 SIOH factor in Equation 3-1 PRV calculation). CM 4% - agency-directed. DB Design 4% applied AFTER Total Funded per DD Form 1391 Block 9 convention and UFC 3-730-01 (2024).</t>
  </si>
  <si>
    <t>JPY/USD exchange rate (PARAMETERS B33) - verify per Federal Reserve H.10 or Oanda.com on date of PAX submission. All scope items are confirmed hard scope. Item 47 (ACM contingency allowance 13,484 SF x $5/SF = $67,420) is included in hard scope and should be confirmed or removed at design following re-inspection per Item 43.</t>
  </si>
  <si>
    <t>1.85 - Camp Schwab, Okinawa, Japan per UFC 3-701-01 w/Change 7 (25 Jul 2025), Table 4-1 OCONUS</t>
  </si>
  <si>
    <t>FY24 CONUS. Groups 1, 3 (Telecom/SIPR): RS Means RSM 27-28 series, UFC 3-580-01. Groups 2, 4-7 (Vault, Pathway, Offices, EOD, Mail Room): RS Means RSM 03-09 series, MCO 5530.14A, UFC 4-010-05. Group 8 (HAZMAT): Bhate Environmental 2001 NVLAP accredited basis; RS Means RSM 02 82 series; UFC 3-470-06. Group 9 (HVAC): RS Means RSM 23-25 series; UFC 3-410-01; mechanical evaluation 19 Mar 2026. Group 10 (Plumbing): RS Means RSM 22 series; IPC 2021. Group 11 (Doors/Air Curtains): RS Means RSM 08/23 series.</t>
  </si>
  <si>
    <t>Anthony L. Potter  |  Facilities Professional  | MCIPAC G-F PPE  |  20 March 2026</t>
  </si>
  <si>
    <t>See Section E above. Current version: v6 (20 Mar 2026). Total Funded is live formula = B18. Prior versions logged in Section E rows 38-43.</t>
  </si>
  <si>
    <t>Full HVAC replacement (Group 9), plumbing replacement and restroom renovation (Group 10), overhead doors and air curtains (Group 11) added per mechanical evaluation 19 Mar 2026. Group 2 restroom conversion subsumed by Group 10. Items 34/43 removed (superseded). Base Direct $1,731,889.</t>
  </si>
  <si>
    <t>Scope confirmed: items 47, 58, 72, 73 (ACM contingency, power roof ventilators 9 EA, roll-up doors 5 EA, air curtains 2 EA all confirmed hard scope). Only remaining yellow: JPY rate.</t>
  </si>
  <si>
    <t>Construct new telecom room - equipment racks, UPS, patch panels, grounding bus bar, EPO, fire suppression, HVAC, raised floor</t>
  </si>
  <si>
    <t>Install ISP horizontal cabling - Cat6A to all converted office and work spaces (30 drops)</t>
  </si>
  <si>
    <t>Install new work area outlets (WAOs) - quad WAO in all converted office spaces (24 EA)</t>
  </si>
  <si>
    <t>New reinforced vault walls with structural supports - CMU or CIP concrete, 2 EA (one per vault space)</t>
  </si>
  <si>
    <t>GSA Class V vault door, frame, flange set, hardware, certified installation, prorated air freight - 2 EA per MCO 5530.14A + UFC 4-010-05</t>
  </si>
  <si>
    <t>IDS sensor installation - 2 vault spaces: PIR, magnetic door contact, keypad per vault, ESAMS compliant</t>
  </si>
  <si>
    <t>Vault electrical - LED lighting, outlets, emergency egress lighting per vault space, 2 EA</t>
  </si>
  <si>
    <t>Dedicated vault ventilation - supply/exhaust isolation with damper per GSA Class V vault requirements, 2 EA</t>
  </si>
  <si>
    <t>Vault interior finishes - VCT flooring, interior paint, base molding, 2 EA (one per vault space)</t>
  </si>
  <si>
    <t>Lockable wall-mount SIPR enclosure/rack with backboard and grounding bus bar - CNSSAM TEMPEST/01-13 compliant</t>
  </si>
  <si>
    <t>Fiber optic cable from telecom room to SIPR rack location - single-mode, conduit, termination</t>
  </si>
  <si>
    <t>SIPR-capable work area outlets (WAOs) - 6 EA at SIPR workstations</t>
  </si>
  <si>
    <t>Conduit and cable management infrastructure for SIPR runs - dedicated conduit, cable tray, hardware</t>
  </si>
  <si>
    <t>New door opening in existing wall - saw cut, structural header, threshold plate for vault access pathway</t>
  </si>
  <si>
    <t>Pathway finishes - VCT flooring, interior paint, base molding</t>
  </si>
  <si>
    <t>Fire alarm devices in new pathway/corridor - smoke detector and horn/strobe notification device per NFPA 72</t>
  </si>
  <si>
    <t>New gypsum stud partition walls for 6 private offices - built over existing work bench infrastructure per client direction</t>
  </si>
  <si>
    <t>New door/frame/hardware per office - 6 EA</t>
  </si>
  <si>
    <t>Electrical - outlets, switches, and LED lighting per office, 6 EA</t>
  </si>
  <si>
    <t>Emergency egress lighting per office - 6 EA per NFPA 101 / UFC 3-530-01</t>
  </si>
  <si>
    <t>Fire alarm devices in new office spaces - smoke detector and horn/strobe per NFPA 72, 6 EA</t>
  </si>
  <si>
    <t>VCT flooring per office - 6 EA</t>
  </si>
  <si>
    <t>Interior paint per office - 6 EA</t>
  </si>
  <si>
    <t>Exit sign addition/relocation for new office cluster egress configuration - 3 EA per NFPA 101 / IBC Ch. 10</t>
  </si>
  <si>
    <t>New door/frame/hardware for partitioned EOD spaces - 2 EA</t>
  </si>
  <si>
    <t>Electrical modifications for partitioned EOD spaces - outlets, switches, lighting</t>
  </si>
  <si>
    <t>Fire alarm devices - smoke detectors and notification devices for new EOD partitioned spaces per NFPA 72</t>
  </si>
  <si>
    <t>Finishes - VCT flooring and interior paint for EOD partitioned spaces</t>
  </si>
  <si>
    <t>New partition walls to establish Unit Mail Distribution Point per MCO 5110.1 / DoD 4525.6-M - programmed approx. 175 SF - CCN 61010 per UFC 3-701-01 - built over existing bench/shelf infrastructure per client direction</t>
  </si>
  <si>
    <t>Electrical - outlets and LED lighting in secure storage area</t>
  </si>
  <si>
    <t>Fire alarm device - smoke detector for new enclosed mail room per NFPA 72</t>
  </si>
  <si>
    <t>Finishes - VCT flooring and interior paint in secure mail room</t>
  </si>
  <si>
    <t>ACM re-inspection and survey confirmation - verify 2001 Bhate Environmental survey findings, full building pre-design per full HVAC duct and plumbing floor demolition scope</t>
  </si>
  <si>
    <t>Bhate Environmental Associates 2001, NVLAP accredited PLM. Re-inspection required - 25-yr survey age and full system replacement scope per UFC 3-470-06.</t>
  </si>
  <si>
    <t>Lead-Based Paint (LBP) survey - whole building pre-design per UFC 3-470-03 and EPA RRP Rule 40 CFR Part 745</t>
  </si>
  <si>
    <t>Targeted ACM abatement - H2 rose 12x12 floor tile, 570 SF, Corridor 100/Rooms 8 and 23, 4% Chrysotile non-friable; full plumbing DWV replacement triggers floor demolition per OSHA 1926.1101</t>
  </si>
  <si>
    <t>ACM contingency allowance - potential ceiling tile and duct insulation disturbance building-wide per full HVAC duct replacement scope; 13,484 SF per UFC 3-470-06; confirm or remove at design following re-inspection per Item 43</t>
  </si>
  <si>
    <t>Demo existing central chilled water plant - chiller C-1, AHU-1, BC-1 booster coil, pumps P-1 (2 EA), expansion tanks EWT-1/EWT-2, reheat coil RH-1, controls, and associated peripherals per as-built equipment schedule Sheet 5-20</t>
  </si>
  <si>
    <t>Remove fuel oil tank OT-1 (240-gal above-ground steel) and all fuel oil supply and return piping - boiler B-1 system removal</t>
  </si>
  <si>
    <t>New air-cooled chilling unit, 86 ton (302 kW), pad-mounted exterior - new concrete equipment pad, refrigerant piping, electrical disconnect, startup and commissioning; replaces C-1 per as-built equipment schedule Sheet 5-20</t>
  </si>
  <si>
    <t>New air handling unit, floor-setting horizontal type, approximately 7,000 CFM - filters, coils, fan section, drain pan, and electrical connection; replaces AHU-1 per equipment schedule Sheet 5-20</t>
  </si>
  <si>
    <t>New circulation pumps, centrifugal, 2 EA - pipe flanges, flexible connectors, isolation valves, motor starters, and electrical connections; replaces P-1 x2 per equipment schedule</t>
  </si>
  <si>
    <t>New booster coil unit, duct insertion type - electrical connection and duct reconnection; replaces BC-1 per equipment schedule Sheet 5-20</t>
  </si>
  <si>
    <t>New chilled water distribution piping, Type L copper, insulated, building-wide - main supply and return runs, branch lines, isolation valves, balance valves, and pressure testing; approximately 350 LF from piping diagram Sheet 10-20</t>
  </si>
  <si>
    <t>New supply and return ductwork, diffusers, registers, and volume dampers building-wide - sheet metal fab, hangers, insulation, and all air distribution devices for 24 rooms per 1st floor duct plan Sheet 11-20; 13,484 SF</t>
  </si>
  <si>
    <t>New power roof ventilators - replace RF-1 through RF-6 per as-built equipment schedule Sheet 5-20; 9 EA per field count confirmed</t>
  </si>
  <si>
    <t>New gravity roof ventilators - replace GV-1 and GF-2, 2 EA per as-built equipment schedule Sheet 5-20</t>
  </si>
  <si>
    <t>New exhaust fans, hanger-mounted centrifugal - replace EF-1, EF-2, EF-3, HF-1, HF-2, 5 EA per as-built equipment schedule Sheet 5-20</t>
  </si>
  <si>
    <t>DDC/BAS building automation controls - DDC for 24 zones per duct plan Sheet 11-20, central controller, thermostat per zone, wiring, and programming</t>
  </si>
  <si>
    <t>New Schedule 40 PVC drain, waste, and vent (DWV) system building-wide - all fixture drains, soil stacks, vent stacks, and cleanouts per IPC 2021; from all fixture locations to first sanitary manhole outside building</t>
  </si>
  <si>
    <t>New Type L copper cold water distribution system building-wide - water service entry through building to all fixture locations, isolation valves, pressure-reducing valves, and hose bibs</t>
  </si>
  <si>
    <t>New building drain connection to sanitary sewer - remove and replace existing site sewer line, new PVC 6-inch SDR-35 from building exit to first manhole, excavation, backfill, and surface restoration</t>
  </si>
  <si>
    <t>New commercial electric water heater, 100-gallon - remove existing 2004 unit past service life, install new unit with supply connections, T&amp;P relief valve, floor drain piping, and electrical connection</t>
  </si>
  <si>
    <t>Full restroom fixture replacement, all restroom spaces (Rooms 108A, 108B, 110A, 110B) - water closets 4 EA, urinals 3 EA, lavatories 3 EA, shower sets 2 EA, service sink 1 EA; per plumbing fixture schedule Sheet 7-20</t>
  </si>
  <si>
    <t>Restroom ceramic tile, floor and wall, all restroom spaces - floor tile 500 SF and wall tile 1,000 SF (wet areas to 8 ft) per interior finish schedule Sheet 6-20 of as-built drawings</t>
  </si>
  <si>
    <t>Restroom accessories replacement - toilet paper holders, towel dispensers, mirrors, soap dispensers, and grab bars, all restroom spaces</t>
  </si>
  <si>
    <t>Restroom LED lighting replacement - all restroom spaces, 15 fixtures, including conduit, wiring, switches, and circuit connections</t>
  </si>
  <si>
    <t>Replace overhead sectional steel roll-up doors building-wide - remove and replace existing doors past service life per David Brennan mechanical evaluation 19 Mar 2026; 5 EA per as-built floor plan Sheet 7-36 (Rooms 112, 114, 116, 117, 118 north face)</t>
  </si>
  <si>
    <t>Replace air curtains at building entry doors - remove and replace non-functioning air curtains per David Brennan mechanical evaluation 19 Mar 2026; 2 EA (end of each hallway, confirmed)</t>
  </si>
  <si>
    <t>Special Interest: Restoration and Modernization</t>
  </si>
  <si>
    <t>Construction</t>
  </si>
  <si>
    <t>ACF</t>
  </si>
  <si>
    <t>Escalation</t>
  </si>
  <si>
    <t>CM</t>
  </si>
  <si>
    <t>DB Design</t>
  </si>
  <si>
    <t>LSH</t>
  </si>
  <si>
    <t>Demo existing ductwork building-wide - all supply, return, and exhaust sheet metal duct, hangers, insulation, diffusers, and registers, 13,484 SF; original 1984 construction past ASHRAE 30-yr service life per mechanical evaluation 19 Mar 2026</t>
  </si>
  <si>
    <t>Remove abandoned compressed air system - air compressor, distribution piping, and outlets building-wide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</si>
</sst>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$#,##0.00"/>
    <numFmt numFmtId="165" formatCode="\$#,##0"/>
    <numFmt numFmtId="166" formatCode="#,##0.##"/>
    <numFmt numFmtId="167" formatCode="0.0%"/>
    <numFmt numFmtId="168" formatCode="0.000000"/>
    <numFmt numFmtId="169" formatCode="#,##0.000"/>
  </numFmts>
  <fonts count="32" x14ac:knownFonts="1">
    <font>
      <sz val="11"/>
      <color theme="1"/>
      <name val="Calibri"/>
      <family val="2"/>
      <charset val="1"/>
    </font>
    <font>
      <b/>
      <sz val="12"/>
      <color rgb="FFFFFFFF"/>
      <name val="Calibri"/>
      <charset val="1"/>
    </font>
    <font>
      <b/>
      <sz val="11"/>
      <color rgb="FFFFFFFF"/>
      <name val="Calibri"/>
      <charset val="1"/>
    </font>
    <font>
      <b/>
      <sz val="9"/>
      <color rgb="FF000000"/>
      <name val="Calibri"/>
      <charset val="1"/>
    </font>
    <font>
      <sz val="10"/>
      <color rgb="FF000000"/>
      <name val="Calibri"/>
      <charset val="1"/>
    </font>
    <font>
      <sz val="10"/>
      <color rgb="FF008000"/>
      <name val="Calibri"/>
      <charset val="1"/>
    </font>
    <font>
      <sz val="9"/>
      <color rgb="FF555555"/>
      <name val="Calibri"/>
      <charset val="1"/>
    </font>
    <font>
      <b/>
      <sz val="10"/>
      <color rgb="FF000000"/>
      <name val="Calibri"/>
      <charset val="1"/>
    </font>
    <font>
      <b/>
      <sz val="10"/>
      <color rgb="FFFFFFFF"/>
      <name val="Calibri"/>
      <charset val="1"/>
    </font>
    <font>
      <sz val="9"/>
      <color rgb="FFFFFFFF"/>
      <name val="Calibri"/>
      <charset val="1"/>
    </font>
    <font>
      <sz val="9"/>
      <color rgb="FF000000"/>
      <name val="Calibri"/>
      <charset val="1"/>
    </font>
    <font>
      <i/>
      <sz val="8"/>
      <color rgb="FF555555"/>
      <name val="Calibri"/>
      <charset val="1"/>
    </font>
    <font>
      <b/>
      <sz val="11"/>
      <color rgb="FFFFFFFF"/>
      <name val="Calibri"/>
      <family val="2"/>
      <charset val="1"/>
    </font>
    <font>
      <b/>
      <sz val="10"/>
      <color rgb="FFFFFFFF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70C0"/>
      <name val="Calibri"/>
      <family val="2"/>
      <charset val="1"/>
    </font>
    <font>
      <sz val="10"/>
      <color rgb="FF555555"/>
      <name val="Calibri"/>
      <family val="2"/>
      <charset val="1"/>
    </font>
    <font>
      <i/>
      <sz val="10"/>
      <color rgb="FFC00000"/>
      <name val="Calibri"/>
      <family val="2"/>
      <charset val="1"/>
    </font>
    <font>
      <i/>
      <sz val="9"/>
      <color rgb="FFC00000"/>
      <name val="Calibri"/>
      <family val="2"/>
      <charset val="1"/>
    </font>
    <font>
      <sz val="10"/>
      <color rgb="FF555555"/>
      <name val="Calibri"/>
      <charset val="1"/>
    </font>
    <font>
      <b/>
      <sz val="10"/>
      <color rgb="FF008000"/>
      <name val="Calibri"/>
      <charset val="1"/>
    </font>
    <font>
      <sz val="10"/>
      <color rgb="FFFFFFFF"/>
      <name val="Calibri"/>
      <charset val="1"/>
    </font>
    <font>
      <b/>
      <sz val="12"/>
      <color rgb="FFFFFFFF"/>
      <name val="Calibri"/>
      <family val="2"/>
    </font>
    <font>
      <sz val="11"/>
      <color theme="1"/>
      <name val="Calibri"/>
      <family val="2"/>
    </font>
    <font>
      <i/>
      <sz val="8"/>
      <color rgb="FF555555"/>
      <name val="Calibri"/>
      <family val="2"/>
    </font>
    <font>
      <b/>
      <sz val="9"/>
      <color rgb="FF000000"/>
      <name val="Calibri"/>
      <family val="2"/>
    </font>
    <font>
      <b/>
      <sz val="10"/>
      <color rgb="FFFFFFFF"/>
      <name val="Calibri"/>
      <family val="2"/>
    </font>
    <font>
      <sz val="9"/>
      <color rgb="FF000000"/>
      <name val="Calibri"/>
      <family val="2"/>
    </font>
    <font>
      <sz val="9"/>
      <color rgb="FF0070C0"/>
      <name val="Calibri"/>
      <family val="2"/>
    </font>
    <font>
      <sz val="9"/>
      <color rgb="FF008000"/>
      <name val="Calibri"/>
      <family val="2"/>
    </font>
    <font>
      <sz val="10"/>
      <color rgb="FF555555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2E4A7A"/>
        <bgColor rgb="FF555555"/>
      </patternFill>
    </fill>
    <fill>
      <patternFill patternType="solid">
        <fgColor rgb="FFBDD7EE"/>
        <bgColor rgb="FFD9E1EC"/>
      </patternFill>
    </fill>
    <fill>
      <patternFill patternType="solid">
        <fgColor rgb="FFD9E1EC"/>
        <bgColor rgb="FFE8EEF6"/>
      </patternFill>
    </fill>
    <fill>
      <patternFill patternType="solid">
        <fgColor rgb="FFEBF5FF"/>
        <bgColor rgb="FFF2F5FA"/>
      </patternFill>
    </fill>
    <fill>
      <patternFill patternType="solid">
        <fgColor rgb="FFF2F5FA"/>
        <bgColor rgb="FFEBF5FF"/>
      </patternFill>
    </fill>
    <fill>
      <patternFill patternType="solid">
        <fgColor rgb="FFE8EEF6"/>
        <bgColor rgb="FFEBF5FF"/>
      </patternFill>
    </fill>
    <fill>
      <patternFill patternType="solid">
        <fgColor rgb="FFFFFF00"/>
        <bgColor rgb="FFFFFF0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6" fillId="0" borderId="3" xfId="0" applyFont="1" applyBorder="1" applyAlignment="1">
      <alignment horizontal="left" vertical="center"/>
    </xf>
    <xf numFmtId="0" fontId="8" fillId="3" borderId="0" xfId="0" applyFont="1" applyFill="1" applyBorder="1" applyAlignment="1">
      <alignment horizontal="left" vertical="center"/>
    </xf>
    <xf numFmtId="0" fontId="11" fillId="0" borderId="0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 wrapText="1"/>
    </xf>
    <xf numFmtId="0" fontId="1" fillId="2" borderId="0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7" fillId="4" borderId="2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0" fillId="0" borderId="1" xfId="0" applyFont="1" applyBorder="1" applyAlignment="1">
      <alignment vertical="center"/>
    </xf>
    <xf numFmtId="0" fontId="0" fillId="0" borderId="1" xfId="0" applyFont="1" applyBorder="1" applyAlignment="1">
      <alignment horizontal="center" vertical="center"/>
    </xf>
    <xf numFmtId="0" fontId="14" fillId="4" borderId="1" xfId="0" applyFont="1" applyFill="1" applyBorder="1" applyAlignment="1">
      <alignment horizontal="left" vertical="center"/>
    </xf>
    <xf numFmtId="0" fontId="14" fillId="4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left" vertical="center"/>
    </xf>
    <xf numFmtId="0" fontId="16" fillId="6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vertical="center" wrapText="1"/>
    </xf>
    <xf numFmtId="167" fontId="16" fillId="6" borderId="1" xfId="0" applyNumberFormat="1" applyFont="1" applyFill="1" applyBorder="1" applyAlignment="1">
      <alignment horizontal="center" vertical="center"/>
    </xf>
    <xf numFmtId="168" fontId="15" fillId="8" borderId="1" xfId="0" applyNumberFormat="1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left" vertical="center"/>
    </xf>
    <xf numFmtId="4" fontId="16" fillId="9" borderId="1" xfId="0" applyNumberFormat="1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vertical="center" wrapText="1"/>
    </xf>
    <xf numFmtId="165" fontId="16" fillId="6" borderId="1" xfId="0" applyNumberFormat="1" applyFont="1" applyFill="1" applyBorder="1" applyAlignment="1">
      <alignment horizontal="center" vertical="center"/>
    </xf>
    <xf numFmtId="165" fontId="15" fillId="8" borderId="1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2" fillId="3" borderId="2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164" fontId="5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3" fillId="2" borderId="0" xfId="0" applyFont="1" applyFill="1" applyBorder="1" applyAlignment="1">
      <alignment horizontal="center" vertical="center"/>
    </xf>
    <xf numFmtId="0" fontId="24" fillId="0" borderId="0" xfId="0" applyFont="1"/>
    <xf numFmtId="0" fontId="25" fillId="0" borderId="0" xfId="0" applyFont="1" applyBorder="1" applyAlignment="1">
      <alignment horizontal="left" vertical="center"/>
    </xf>
    <xf numFmtId="0" fontId="26" fillId="4" borderId="1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left" vertical="center"/>
    </xf>
    <xf numFmtId="0" fontId="28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left" vertical="center" wrapText="1"/>
    </xf>
    <xf numFmtId="166" fontId="29" fillId="6" borderId="1" xfId="0" applyNumberFormat="1" applyFont="1" applyFill="1" applyBorder="1" applyAlignment="1">
      <alignment horizontal="center" vertical="center"/>
    </xf>
    <xf numFmtId="0" fontId="29" fillId="6" borderId="1" xfId="0" applyFont="1" applyFill="1" applyBorder="1" applyAlignment="1">
      <alignment horizontal="center" vertical="center"/>
    </xf>
    <xf numFmtId="164" fontId="29" fillId="6" borderId="1" xfId="0" applyNumberFormat="1" applyFont="1" applyFill="1" applyBorder="1" applyAlignment="1">
      <alignment horizontal="center" vertical="center"/>
    </xf>
    <xf numFmtId="164" fontId="28" fillId="0" borderId="1" xfId="0" applyNumberFormat="1" applyFont="1" applyBorder="1" applyAlignment="1">
      <alignment horizontal="center" vertical="center"/>
    </xf>
    <xf numFmtId="3" fontId="30" fillId="0" borderId="1" xfId="0" applyNumberFormat="1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left" vertical="center" wrapText="1"/>
    </xf>
    <xf numFmtId="0" fontId="24" fillId="4" borderId="4" xfId="0" applyFont="1" applyFill="1" applyBorder="1"/>
    <xf numFmtId="164" fontId="26" fillId="4" borderId="4" xfId="0" applyNumberFormat="1" applyFont="1" applyFill="1" applyBorder="1" applyAlignment="1">
      <alignment horizontal="center" vertical="center"/>
    </xf>
    <xf numFmtId="3" fontId="24" fillId="4" borderId="4" xfId="0" applyNumberFormat="1" applyFont="1" applyFill="1" applyBorder="1" applyAlignment="1">
      <alignment horizontal="center" vertical="center"/>
    </xf>
    <xf numFmtId="0" fontId="27" fillId="2" borderId="2" xfId="0" applyFont="1" applyFill="1" applyBorder="1" applyAlignment="1">
      <alignment horizontal="right" vertical="center"/>
    </xf>
    <xf numFmtId="164" fontId="27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/>
    </xf>
    <xf numFmtId="0" fontId="24" fillId="2" borderId="2" xfId="0" applyFont="1" applyFill="1" applyBorder="1"/>
    <xf numFmtId="0" fontId="24" fillId="0" borderId="0" xfId="0" applyFont="1" applyAlignment="1">
      <alignment horizontal="center"/>
    </xf>
    <xf numFmtId="0" fontId="12" fillId="2" borderId="3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horizontal="center" vertical="center"/>
    </xf>
    <xf numFmtId="0" fontId="13" fillId="3" borderId="3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3" fillId="3" borderId="6" xfId="0" applyFont="1" applyFill="1" applyBorder="1" applyAlignment="1">
      <alignment horizontal="center" vertical="center"/>
    </xf>
    <xf numFmtId="0" fontId="17" fillId="7" borderId="3" xfId="0" applyFont="1" applyFill="1" applyBorder="1" applyAlignment="1">
      <alignment horizontal="left" vertical="center" wrapText="1"/>
    </xf>
    <xf numFmtId="0" fontId="17" fillId="7" borderId="5" xfId="0" applyFont="1" applyFill="1" applyBorder="1" applyAlignment="1">
      <alignment horizontal="left" vertical="center" wrapText="1"/>
    </xf>
    <xf numFmtId="0" fontId="17" fillId="7" borderId="6" xfId="0" applyFont="1" applyFill="1" applyBorder="1" applyAlignment="1">
      <alignment horizontal="left" vertical="center" wrapText="1"/>
    </xf>
    <xf numFmtId="169" fontId="4" fillId="0" borderId="1" xfId="0" applyNumberFormat="1" applyFont="1" applyBorder="1" applyAlignment="1">
      <alignment horizontal="center" vertical="center"/>
    </xf>
    <xf numFmtId="169" fontId="7" fillId="4" borderId="2" xfId="0" applyNumberFormat="1" applyFont="1" applyFill="1" applyBorder="1" applyAlignment="1">
      <alignment horizontal="center" vertical="center"/>
    </xf>
    <xf numFmtId="169" fontId="5" fillId="0" borderId="1" xfId="0" applyNumberFormat="1" applyFont="1" applyBorder="1" applyAlignment="1">
      <alignment horizontal="center" vertical="center"/>
    </xf>
    <xf numFmtId="169" fontId="21" fillId="4" borderId="2" xfId="0" applyNumberFormat="1" applyFont="1" applyFill="1" applyBorder="1" applyAlignment="1">
      <alignment horizontal="center" vertical="center"/>
    </xf>
    <xf numFmtId="169" fontId="21" fillId="3" borderId="2" xfId="0" applyNumberFormat="1" applyFont="1" applyFill="1" applyBorder="1" applyAlignment="1">
      <alignment horizontal="center" vertical="center"/>
    </xf>
    <xf numFmtId="0" fontId="3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165" fontId="7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164" fontId="8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164" fontId="7" fillId="0" borderId="1" xfId="0" applyNumberFormat="1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 wrapText="1"/>
    </xf>
    <xf numFmtId="0" fontId="24" fillId="4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5FA"/>
      <rgbColor rgb="FFEBF5FF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6"/>
      <rgbColor rgb="FFD9E1E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2E4A7A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8"/>
  <sheetViews>
    <sheetView tabSelected="1" zoomScale="120" zoomScaleNormal="120" workbookViewId="0">
      <pane ySplit="1" topLeftCell="A2" activePane="bottomLeft" state="frozen"/>
      <selection pane="bottomLeft" activeCell="B55" sqref="B55:C55"/>
    </sheetView>
  </sheetViews>
  <sheetFormatPr defaultColWidth="8.7109375" defaultRowHeight="15" x14ac:dyDescent="0.25"/>
  <cols>
    <col min="1" max="1" width="76.42578125" style="32" bestFit="1" customWidth="1"/>
    <col min="2" max="2" width="18" style="36" customWidth="1"/>
    <col min="3" max="3" width="126.5703125" style="32" bestFit="1" customWidth="1"/>
    <col min="4" max="16384" width="8.7109375" style="32"/>
  </cols>
  <sheetData>
    <row r="1" spans="1:3" ht="21.75" customHeight="1" x14ac:dyDescent="0.25">
      <c r="A1" s="77" t="s">
        <v>0</v>
      </c>
      <c r="B1" s="77"/>
      <c r="C1" s="77"/>
    </row>
    <row r="2" spans="1:3" x14ac:dyDescent="0.25">
      <c r="A2" s="78"/>
      <c r="B2" s="79"/>
      <c r="C2" s="78"/>
    </row>
    <row r="3" spans="1:3" ht="18" customHeight="1" x14ac:dyDescent="0.25">
      <c r="A3" s="80" t="s">
        <v>1</v>
      </c>
      <c r="B3" s="80"/>
      <c r="C3" s="80"/>
    </row>
    <row r="4" spans="1:3" ht="15.75" customHeight="1" x14ac:dyDescent="0.25">
      <c r="A4" s="6" t="s">
        <v>2</v>
      </c>
      <c r="B4" s="6" t="s">
        <v>3</v>
      </c>
      <c r="C4" s="6" t="s">
        <v>4</v>
      </c>
    </row>
    <row r="5" spans="1:3" ht="15.75" customHeight="1" x14ac:dyDescent="0.25">
      <c r="A5" s="7" t="s">
        <v>5</v>
      </c>
      <c r="B5" s="33">
        <f>SCOPE_DETAIL!G99</f>
        <v>1731889</v>
      </c>
      <c r="C5" s="8" t="s">
        <v>338</v>
      </c>
    </row>
    <row r="6" spans="1:3" ht="15.75" customHeight="1" x14ac:dyDescent="0.25">
      <c r="A6" s="7" t="s">
        <v>6</v>
      </c>
      <c r="B6" s="34">
        <f>B5*PARAMETERS!B18</f>
        <v>3203994.6500000004</v>
      </c>
      <c r="C6" s="8" t="s">
        <v>7</v>
      </c>
    </row>
    <row r="7" spans="1:3" ht="15.75" customHeight="1" x14ac:dyDescent="0.25">
      <c r="A7" s="7" t="s">
        <v>8</v>
      </c>
      <c r="B7" s="34">
        <f>B6*PARAMETERS!B21</f>
        <v>3410114.8700664029</v>
      </c>
      <c r="C7" s="8" t="s">
        <v>9</v>
      </c>
    </row>
    <row r="8" spans="1:3" ht="15.75" customHeight="1" x14ac:dyDescent="0.25">
      <c r="A8" s="7" t="s">
        <v>10</v>
      </c>
      <c r="B8" s="34">
        <f>B7*(1+PARAMETERS!B22)</f>
        <v>3751126.3570730435</v>
      </c>
      <c r="C8" s="8" t="s">
        <v>11</v>
      </c>
    </row>
    <row r="9" spans="1:3" ht="15.75" customHeight="1" x14ac:dyDescent="0.25">
      <c r="A9" s="7" t="s">
        <v>12</v>
      </c>
      <c r="B9" s="35">
        <f>ROUND(B8*(1+PARAMETERS!B23),0)</f>
        <v>4126239</v>
      </c>
      <c r="C9" s="8" t="s">
        <v>13</v>
      </c>
    </row>
    <row r="10" spans="1:3" ht="15.75" customHeight="1" x14ac:dyDescent="0.25">
      <c r="A10" s="7" t="s">
        <v>339</v>
      </c>
      <c r="B10" s="33">
        <f>PARAMETERS!B40</f>
        <v>272333</v>
      </c>
      <c r="C10" s="8" t="s">
        <v>14</v>
      </c>
    </row>
    <row r="11" spans="1:3" ht="16.5" customHeight="1" x14ac:dyDescent="0.25">
      <c r="A11" s="81" t="s">
        <v>15</v>
      </c>
      <c r="B11" s="82">
        <f>B9+B10</f>
        <v>4398572</v>
      </c>
      <c r="C11" s="83" t="s">
        <v>16</v>
      </c>
    </row>
    <row r="12" spans="1:3" x14ac:dyDescent="0.25">
      <c r="A12" s="78"/>
      <c r="B12" s="79"/>
      <c r="C12" s="78"/>
    </row>
    <row r="13" spans="1:3" ht="18" customHeight="1" x14ac:dyDescent="0.25">
      <c r="A13" s="80" t="s">
        <v>17</v>
      </c>
      <c r="B13" s="80"/>
      <c r="C13" s="80"/>
    </row>
    <row r="14" spans="1:3" ht="15.75" customHeight="1" x14ac:dyDescent="0.25">
      <c r="A14" s="6" t="s">
        <v>2</v>
      </c>
      <c r="B14" s="6" t="s">
        <v>3</v>
      </c>
      <c r="C14" s="6" t="s">
        <v>4</v>
      </c>
    </row>
    <row r="15" spans="1:3" ht="15.75" customHeight="1" x14ac:dyDescent="0.25">
      <c r="A15" s="7" t="s">
        <v>18</v>
      </c>
      <c r="B15" s="34">
        <f>B11*PARAMETERS!B25</f>
        <v>263914.32</v>
      </c>
      <c r="C15" s="8" t="s">
        <v>19</v>
      </c>
    </row>
    <row r="16" spans="1:3" ht="15.75" customHeight="1" x14ac:dyDescent="0.25">
      <c r="A16" s="7" t="s">
        <v>340</v>
      </c>
      <c r="B16" s="34">
        <f>B11*PARAMETERS!B26</f>
        <v>351885.76</v>
      </c>
      <c r="C16" s="8" t="s">
        <v>20</v>
      </c>
    </row>
    <row r="17" spans="1:3" ht="15.75" customHeight="1" x14ac:dyDescent="0.25">
      <c r="A17" s="7" t="s">
        <v>21</v>
      </c>
      <c r="B17" s="34">
        <f>B11*PARAMETERS!B27</f>
        <v>175942.88</v>
      </c>
      <c r="C17" s="8" t="s">
        <v>22</v>
      </c>
    </row>
    <row r="18" spans="1:3" ht="16.5" customHeight="1" x14ac:dyDescent="0.25">
      <c r="A18" s="84" t="s">
        <v>23</v>
      </c>
      <c r="B18" s="85">
        <f>ROUND(B11+B15+B16+B17,0)</f>
        <v>5190315</v>
      </c>
      <c r="C18" s="86" t="s">
        <v>24</v>
      </c>
    </row>
    <row r="19" spans="1:3" ht="15.75" customHeight="1" x14ac:dyDescent="0.25">
      <c r="A19" s="7" t="s">
        <v>341</v>
      </c>
      <c r="B19" s="34">
        <f>B18*PARAMETERS!B28</f>
        <v>207612.6</v>
      </c>
      <c r="C19" s="8" t="s">
        <v>26</v>
      </c>
    </row>
    <row r="20" spans="1:3" ht="16.5" customHeight="1" x14ac:dyDescent="0.25">
      <c r="A20" s="87" t="s">
        <v>27</v>
      </c>
      <c r="B20" s="88">
        <f>B18+B19</f>
        <v>5397927.5999999996</v>
      </c>
      <c r="C20" s="89" t="s">
        <v>28</v>
      </c>
    </row>
    <row r="21" spans="1:3" x14ac:dyDescent="0.25">
      <c r="A21" s="78"/>
      <c r="B21" s="79"/>
      <c r="C21" s="78"/>
    </row>
    <row r="22" spans="1:3" ht="18" customHeight="1" x14ac:dyDescent="0.25">
      <c r="A22" s="80" t="s">
        <v>29</v>
      </c>
      <c r="B22" s="80"/>
      <c r="C22" s="80"/>
    </row>
    <row r="23" spans="1:3" ht="15.75" customHeight="1" x14ac:dyDescent="0.25">
      <c r="A23" s="6" t="s">
        <v>2</v>
      </c>
      <c r="B23" s="6" t="s">
        <v>30</v>
      </c>
      <c r="C23" s="6" t="s">
        <v>31</v>
      </c>
    </row>
    <row r="24" spans="1:3" ht="15.75" customHeight="1" x14ac:dyDescent="0.25">
      <c r="A24" s="7" t="s">
        <v>342</v>
      </c>
      <c r="B24" s="33">
        <f>B18/PARAMETERS!B29</f>
        <v>384.92398398101454</v>
      </c>
      <c r="C24" s="8" t="s">
        <v>32</v>
      </c>
    </row>
    <row r="25" spans="1:3" x14ac:dyDescent="0.25">
      <c r="A25" s="78"/>
      <c r="B25" s="79"/>
      <c r="C25" s="78"/>
    </row>
    <row r="26" spans="1:3" ht="18" customHeight="1" x14ac:dyDescent="0.25">
      <c r="A26" s="80" t="s">
        <v>33</v>
      </c>
      <c r="B26" s="80"/>
      <c r="C26" s="80"/>
    </row>
    <row r="27" spans="1:3" ht="15.75" customHeight="1" x14ac:dyDescent="0.25">
      <c r="A27" s="6" t="s">
        <v>34</v>
      </c>
      <c r="B27" s="6" t="s">
        <v>35</v>
      </c>
      <c r="C27" s="6" t="s">
        <v>31</v>
      </c>
    </row>
    <row r="28" spans="1:3" ht="15.75" customHeight="1" x14ac:dyDescent="0.25">
      <c r="A28" s="7" t="s">
        <v>343</v>
      </c>
      <c r="B28" s="33">
        <f>SUMIF(SCOPE_DETAIL!$I:$I,"B20",SCOPE_DETAIL!$G:$G)</f>
        <v>33300</v>
      </c>
      <c r="C28" s="8" t="s">
        <v>36</v>
      </c>
    </row>
    <row r="29" spans="1:3" ht="15.75" customHeight="1" x14ac:dyDescent="0.25">
      <c r="A29" s="7" t="s">
        <v>344</v>
      </c>
      <c r="B29" s="33">
        <f>SUMIF(SCOPE_DETAIL!$I:$I,"C10",SCOPE_DETAIL!$G:$G)</f>
        <v>340598</v>
      </c>
      <c r="C29" s="8" t="s">
        <v>37</v>
      </c>
    </row>
    <row r="30" spans="1:3" ht="15.75" customHeight="1" x14ac:dyDescent="0.25">
      <c r="A30" s="7" t="s">
        <v>345</v>
      </c>
      <c r="B30" s="33">
        <f>SUMIF(SCOPE_DETAIL!$I:$I,"D20",SCOPE_DETAIL!$G:$G)</f>
        <v>436952</v>
      </c>
      <c r="C30" s="8" t="s">
        <v>38</v>
      </c>
    </row>
    <row r="31" spans="1:3" ht="15.75" customHeight="1" x14ac:dyDescent="0.25">
      <c r="A31" s="7" t="s">
        <v>346</v>
      </c>
      <c r="B31" s="33">
        <f>SUMIF(SCOPE_DETAIL!$I:$I,"D30",SCOPE_DETAIL!$G:$G)</f>
        <v>605854</v>
      </c>
      <c r="C31" s="8" t="s">
        <v>39</v>
      </c>
    </row>
    <row r="32" spans="1:3" ht="15.75" customHeight="1" x14ac:dyDescent="0.25">
      <c r="A32" s="7" t="s">
        <v>347</v>
      </c>
      <c r="B32" s="33">
        <f>SUMIF(SCOPE_DETAIL!$I:$I,"D50",SCOPE_DETAIL!$G:$G)</f>
        <v>211525</v>
      </c>
      <c r="C32" s="8" t="s">
        <v>40</v>
      </c>
    </row>
    <row r="33" spans="1:3" ht="15.75" customHeight="1" x14ac:dyDescent="0.25">
      <c r="A33" s="7" t="s">
        <v>348</v>
      </c>
      <c r="B33" s="33">
        <f>SUMIF(SCOPE_DETAIL!$I:$I,"F10",SCOPE_DETAIL!$G:$G)</f>
        <v>103660</v>
      </c>
      <c r="C33" s="8" t="s">
        <v>41</v>
      </c>
    </row>
    <row r="34" spans="1:3" ht="15.75" customHeight="1" x14ac:dyDescent="0.25">
      <c r="A34" s="90" t="s">
        <v>42</v>
      </c>
      <c r="B34" s="91">
        <f>SUM(B28:B33)</f>
        <v>1731889</v>
      </c>
      <c r="C34" s="8" t="s">
        <v>43</v>
      </c>
    </row>
    <row r="35" spans="1:3" ht="6" customHeight="1" x14ac:dyDescent="0.25">
      <c r="A35" s="78"/>
      <c r="B35" s="79"/>
      <c r="C35" s="78"/>
    </row>
    <row r="36" spans="1:3" ht="18" customHeight="1" x14ac:dyDescent="0.25">
      <c r="A36" s="80" t="s">
        <v>44</v>
      </c>
      <c r="B36" s="80"/>
      <c r="C36" s="80"/>
    </row>
    <row r="37" spans="1:3" ht="15.75" customHeight="1" x14ac:dyDescent="0.25">
      <c r="A37" s="6" t="s">
        <v>45</v>
      </c>
      <c r="B37" s="6" t="s">
        <v>46</v>
      </c>
      <c r="C37" s="6" t="s">
        <v>31</v>
      </c>
    </row>
    <row r="38" spans="1:3" x14ac:dyDescent="0.25">
      <c r="A38" s="7" t="s">
        <v>47</v>
      </c>
      <c r="B38" s="37"/>
      <c r="C38" s="11" t="s">
        <v>48</v>
      </c>
    </row>
    <row r="39" spans="1:3" x14ac:dyDescent="0.25">
      <c r="A39" s="7" t="s">
        <v>49</v>
      </c>
      <c r="B39" s="37"/>
      <c r="C39" s="11" t="s">
        <v>50</v>
      </c>
    </row>
    <row r="40" spans="1:3" x14ac:dyDescent="0.25">
      <c r="A40" s="7" t="s">
        <v>51</v>
      </c>
      <c r="B40" s="37" t="s">
        <v>52</v>
      </c>
      <c r="C40" s="11" t="s">
        <v>53</v>
      </c>
    </row>
    <row r="41" spans="1:3" x14ac:dyDescent="0.25">
      <c r="A41" s="7" t="s">
        <v>54</v>
      </c>
      <c r="B41" s="37"/>
      <c r="C41" s="11" t="s">
        <v>55</v>
      </c>
    </row>
    <row r="42" spans="1:3" ht="24" x14ac:dyDescent="0.25">
      <c r="A42" s="7" t="s">
        <v>56</v>
      </c>
      <c r="B42" s="37"/>
      <c r="C42" s="11" t="s">
        <v>355</v>
      </c>
    </row>
    <row r="43" spans="1:3" ht="30" customHeight="1" x14ac:dyDescent="0.25">
      <c r="A43" s="7" t="s">
        <v>57</v>
      </c>
      <c r="B43" s="38">
        <f>B18</f>
        <v>5190315</v>
      </c>
      <c r="C43" s="11" t="s">
        <v>356</v>
      </c>
    </row>
    <row r="44" spans="1:3" x14ac:dyDescent="0.25">
      <c r="A44" s="78"/>
      <c r="B44" s="79"/>
      <c r="C44" s="78"/>
    </row>
    <row r="45" spans="1:3" ht="18" customHeight="1" x14ac:dyDescent="0.25">
      <c r="A45" s="80" t="s">
        <v>58</v>
      </c>
      <c r="B45" s="80"/>
      <c r="C45" s="80"/>
    </row>
    <row r="46" spans="1:3" x14ac:dyDescent="0.25">
      <c r="A46" s="12" t="s">
        <v>59</v>
      </c>
      <c r="B46" s="4" t="s">
        <v>60</v>
      </c>
      <c r="C46" s="4"/>
    </row>
    <row r="47" spans="1:3" ht="42.75" customHeight="1" x14ac:dyDescent="0.25">
      <c r="A47" s="12" t="s">
        <v>61</v>
      </c>
      <c r="B47" s="4" t="s">
        <v>337</v>
      </c>
      <c r="C47" s="4"/>
    </row>
    <row r="48" spans="1:3" x14ac:dyDescent="0.25">
      <c r="A48" s="12" t="s">
        <v>62</v>
      </c>
      <c r="B48" s="4" t="s">
        <v>351</v>
      </c>
      <c r="C48" s="4"/>
    </row>
    <row r="49" spans="1:3" x14ac:dyDescent="0.25">
      <c r="A49" s="12" t="s">
        <v>63</v>
      </c>
      <c r="B49" s="4" t="s">
        <v>64</v>
      </c>
      <c r="C49" s="4"/>
    </row>
    <row r="50" spans="1:3" x14ac:dyDescent="0.25">
      <c r="A50" s="12" t="s">
        <v>65</v>
      </c>
      <c r="B50" s="4" t="s">
        <v>66</v>
      </c>
      <c r="C50" s="4"/>
    </row>
    <row r="51" spans="1:3" x14ac:dyDescent="0.25">
      <c r="A51" s="12" t="s">
        <v>67</v>
      </c>
      <c r="B51" s="4" t="s">
        <v>68</v>
      </c>
      <c r="C51" s="4"/>
    </row>
    <row r="52" spans="1:3" ht="21.75" customHeight="1" x14ac:dyDescent="0.25">
      <c r="A52" s="12" t="s">
        <v>69</v>
      </c>
      <c r="B52" s="4" t="s">
        <v>70</v>
      </c>
      <c r="C52" s="4"/>
    </row>
    <row r="53" spans="1:3" ht="33" customHeight="1" x14ac:dyDescent="0.25">
      <c r="A53" s="12" t="s">
        <v>71</v>
      </c>
      <c r="B53" s="4" t="s">
        <v>349</v>
      </c>
      <c r="C53" s="4"/>
    </row>
    <row r="54" spans="1:3" ht="48" customHeight="1" x14ac:dyDescent="0.25">
      <c r="A54" s="12" t="s">
        <v>72</v>
      </c>
      <c r="B54" s="4" t="s">
        <v>352</v>
      </c>
      <c r="C54" s="4"/>
    </row>
    <row r="55" spans="1:3" ht="33.75" customHeight="1" x14ac:dyDescent="0.25">
      <c r="A55" s="12" t="s">
        <v>73</v>
      </c>
      <c r="B55" s="4" t="s">
        <v>350</v>
      </c>
      <c r="C55" s="4"/>
    </row>
    <row r="56" spans="1:3" ht="50.25" customHeight="1" x14ac:dyDescent="0.25">
      <c r="A56" s="12" t="s">
        <v>74</v>
      </c>
      <c r="B56" s="4" t="s">
        <v>75</v>
      </c>
      <c r="C56" s="4"/>
    </row>
    <row r="57" spans="1:3" x14ac:dyDescent="0.25">
      <c r="A57" s="12" t="s">
        <v>76</v>
      </c>
      <c r="B57" s="4" t="s">
        <v>353</v>
      </c>
      <c r="C57" s="4"/>
    </row>
    <row r="58" spans="1:3" x14ac:dyDescent="0.25">
      <c r="A58" s="12" t="s">
        <v>77</v>
      </c>
      <c r="B58" s="4" t="s">
        <v>354</v>
      </c>
      <c r="C58" s="4"/>
    </row>
  </sheetData>
  <mergeCells count="20">
    <mergeCell ref="B54:C54"/>
    <mergeCell ref="B55:C55"/>
    <mergeCell ref="B56:C56"/>
    <mergeCell ref="B57:C57"/>
    <mergeCell ref="B58:C58"/>
    <mergeCell ref="B49:C49"/>
    <mergeCell ref="B50:C50"/>
    <mergeCell ref="B51:C51"/>
    <mergeCell ref="B52:C52"/>
    <mergeCell ref="B53:C53"/>
    <mergeCell ref="A36:C36"/>
    <mergeCell ref="A45:C45"/>
    <mergeCell ref="B46:C46"/>
    <mergeCell ref="B47:C47"/>
    <mergeCell ref="B48:C48"/>
    <mergeCell ref="A1:C1"/>
    <mergeCell ref="A3:C3"/>
    <mergeCell ref="A13:C13"/>
    <mergeCell ref="A22:C22"/>
    <mergeCell ref="A26:C26"/>
  </mergeCells>
  <pageMargins left="0.75" right="0.75" top="1" bottom="1" header="0.511811023622047" footer="0.511811023622047"/>
  <pageSetup paperSize="9" orientation="portrait" horizontalDpi="300" verticalDpi="300"/>
  <headerFooter>
    <oddFooter>&amp;L_x000D_&amp;1#&amp;"Calibri"&amp;10&amp;K000000 DISTRIBUTION: DoW COMMUNITY ONLY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9"/>
  <sheetViews>
    <sheetView zoomScale="120" zoomScaleNormal="120" workbookViewId="0">
      <selection activeCell="C51" sqref="C51"/>
    </sheetView>
  </sheetViews>
  <sheetFormatPr defaultColWidth="8.7109375" defaultRowHeight="15" x14ac:dyDescent="0.25"/>
  <cols>
    <col min="1" max="1" width="7" style="41" customWidth="1"/>
    <col min="2" max="2" width="12" style="61" customWidth="1"/>
    <col min="3" max="3" width="62" style="41" customWidth="1"/>
    <col min="4" max="5" width="7" style="41" customWidth="1"/>
    <col min="6" max="6" width="16" style="61" customWidth="1"/>
    <col min="7" max="8" width="14" style="61" customWidth="1"/>
    <col min="9" max="9" width="11" style="41" customWidth="1"/>
    <col min="10" max="10" width="50" style="41" customWidth="1"/>
    <col min="11" max="16384" width="8.7109375" style="41"/>
  </cols>
  <sheetData>
    <row r="1" spans="1:10" ht="18" customHeight="1" x14ac:dyDescent="0.25">
      <c r="A1" s="40" t="s">
        <v>78</v>
      </c>
      <c r="B1" s="40"/>
      <c r="C1" s="40"/>
      <c r="D1" s="40"/>
      <c r="E1" s="40"/>
      <c r="F1" s="40"/>
      <c r="G1" s="40"/>
      <c r="H1" s="40"/>
      <c r="I1" s="40"/>
      <c r="J1" s="40"/>
    </row>
    <row r="2" spans="1:10" ht="13.5" customHeight="1" x14ac:dyDescent="0.25">
      <c r="A2" s="42" t="s">
        <v>79</v>
      </c>
      <c r="B2" s="42"/>
      <c r="C2" s="42"/>
      <c r="D2" s="42"/>
      <c r="E2" s="42"/>
      <c r="F2" s="42"/>
      <c r="G2" s="42"/>
      <c r="H2" s="42"/>
      <c r="I2" s="42"/>
      <c r="J2" s="42"/>
    </row>
    <row r="3" spans="1:10" ht="27.75" customHeight="1" x14ac:dyDescent="0.25">
      <c r="A3" s="43" t="s">
        <v>80</v>
      </c>
      <c r="B3" s="43" t="s">
        <v>81</v>
      </c>
      <c r="C3" s="43" t="s">
        <v>82</v>
      </c>
      <c r="D3" s="43" t="s">
        <v>83</v>
      </c>
      <c r="E3" s="43" t="s">
        <v>84</v>
      </c>
      <c r="F3" s="43" t="s">
        <v>85</v>
      </c>
      <c r="G3" s="43" t="s">
        <v>86</v>
      </c>
      <c r="H3" s="43" t="s">
        <v>87</v>
      </c>
      <c r="I3" s="43" t="s">
        <v>88</v>
      </c>
      <c r="J3" s="43" t="s">
        <v>89</v>
      </c>
    </row>
    <row r="4" spans="1:10" ht="13.5" customHeight="1" x14ac:dyDescent="0.25">
      <c r="A4" s="44" t="s">
        <v>90</v>
      </c>
      <c r="B4" s="44"/>
      <c r="C4" s="44"/>
      <c r="D4" s="44"/>
      <c r="E4" s="44"/>
      <c r="F4" s="44"/>
      <c r="G4" s="44"/>
      <c r="H4" s="44"/>
      <c r="I4" s="44"/>
      <c r="J4" s="44"/>
    </row>
    <row r="5" spans="1:10" ht="24" x14ac:dyDescent="0.25">
      <c r="A5" s="45">
        <v>1</v>
      </c>
      <c r="B5" s="92" t="s">
        <v>91</v>
      </c>
      <c r="C5" s="46" t="s">
        <v>92</v>
      </c>
      <c r="D5" s="47">
        <v>1</v>
      </c>
      <c r="E5" s="48" t="s">
        <v>93</v>
      </c>
      <c r="F5" s="49">
        <v>12000</v>
      </c>
      <c r="G5" s="50">
        <f t="shared" ref="G5:G10" si="0">D5*F5</f>
        <v>12000</v>
      </c>
      <c r="H5" s="51">
        <f>G5*PARAMETERS!$B$33</f>
        <v>18840</v>
      </c>
      <c r="I5" s="52" t="s">
        <v>94</v>
      </c>
      <c r="J5" s="53" t="s">
        <v>95</v>
      </c>
    </row>
    <row r="6" spans="1:10" ht="24" x14ac:dyDescent="0.25">
      <c r="A6" s="45">
        <v>2</v>
      </c>
      <c r="B6" s="92" t="s">
        <v>91</v>
      </c>
      <c r="C6" s="46" t="s">
        <v>357</v>
      </c>
      <c r="D6" s="47">
        <v>1</v>
      </c>
      <c r="E6" s="48" t="s">
        <v>93</v>
      </c>
      <c r="F6" s="49">
        <v>65000</v>
      </c>
      <c r="G6" s="50">
        <f t="shared" si="0"/>
        <v>65000</v>
      </c>
      <c r="H6" s="51">
        <f>G6*PARAMETERS!$B$33</f>
        <v>102050</v>
      </c>
      <c r="I6" s="52" t="s">
        <v>94</v>
      </c>
      <c r="J6" s="53" t="s">
        <v>96</v>
      </c>
    </row>
    <row r="7" spans="1:10" ht="24" x14ac:dyDescent="0.25">
      <c r="A7" s="45">
        <v>3</v>
      </c>
      <c r="B7" s="92" t="s">
        <v>91</v>
      </c>
      <c r="C7" s="46" t="s">
        <v>97</v>
      </c>
      <c r="D7" s="47">
        <v>1</v>
      </c>
      <c r="E7" s="48" t="s">
        <v>93</v>
      </c>
      <c r="F7" s="49">
        <v>15000</v>
      </c>
      <c r="G7" s="50">
        <f t="shared" si="0"/>
        <v>15000</v>
      </c>
      <c r="H7" s="51">
        <f>G7*PARAMETERS!$B$33</f>
        <v>23550</v>
      </c>
      <c r="I7" s="52" t="s">
        <v>94</v>
      </c>
      <c r="J7" s="53" t="s">
        <v>98</v>
      </c>
    </row>
    <row r="8" spans="1:10" ht="24" x14ac:dyDescent="0.25">
      <c r="A8" s="45">
        <v>4</v>
      </c>
      <c r="B8" s="92" t="s">
        <v>91</v>
      </c>
      <c r="C8" s="46" t="s">
        <v>358</v>
      </c>
      <c r="D8" s="47">
        <v>30</v>
      </c>
      <c r="E8" s="48" t="s">
        <v>99</v>
      </c>
      <c r="F8" s="49">
        <v>1200</v>
      </c>
      <c r="G8" s="50">
        <f t="shared" si="0"/>
        <v>36000</v>
      </c>
      <c r="H8" s="51">
        <f>G8*PARAMETERS!$B$33</f>
        <v>56520</v>
      </c>
      <c r="I8" s="52" t="s">
        <v>94</v>
      </c>
      <c r="J8" s="53" t="s">
        <v>100</v>
      </c>
    </row>
    <row r="9" spans="1:10" ht="24" x14ac:dyDescent="0.25">
      <c r="A9" s="45">
        <v>5</v>
      </c>
      <c r="B9" s="92" t="s">
        <v>91</v>
      </c>
      <c r="C9" s="46" t="s">
        <v>359</v>
      </c>
      <c r="D9" s="47">
        <v>24</v>
      </c>
      <c r="E9" s="48" t="s">
        <v>99</v>
      </c>
      <c r="F9" s="49">
        <v>1000</v>
      </c>
      <c r="G9" s="50">
        <f t="shared" si="0"/>
        <v>24000</v>
      </c>
      <c r="H9" s="51">
        <f>G9*PARAMETERS!$B$33</f>
        <v>37680</v>
      </c>
      <c r="I9" s="52" t="s">
        <v>94</v>
      </c>
      <c r="J9" s="53" t="s">
        <v>101</v>
      </c>
    </row>
    <row r="10" spans="1:10" ht="24" x14ac:dyDescent="0.25">
      <c r="A10" s="45">
        <v>6</v>
      </c>
      <c r="B10" s="92" t="s">
        <v>91</v>
      </c>
      <c r="C10" s="46" t="s">
        <v>102</v>
      </c>
      <c r="D10" s="47">
        <v>1</v>
      </c>
      <c r="E10" s="48" t="s">
        <v>93</v>
      </c>
      <c r="F10" s="49">
        <v>8000</v>
      </c>
      <c r="G10" s="50">
        <f t="shared" si="0"/>
        <v>8000</v>
      </c>
      <c r="H10" s="51">
        <f>G10*PARAMETERS!$B$33</f>
        <v>12560</v>
      </c>
      <c r="I10" s="52" t="s">
        <v>94</v>
      </c>
      <c r="J10" s="53" t="s">
        <v>103</v>
      </c>
    </row>
    <row r="11" spans="1:10" ht="12.75" customHeight="1" x14ac:dyDescent="0.25">
      <c r="A11" s="54"/>
      <c r="B11" s="93"/>
      <c r="C11" s="54"/>
      <c r="D11" s="54"/>
      <c r="E11" s="54"/>
      <c r="F11" s="54"/>
      <c r="G11" s="55">
        <f>SUM(G5:G10)</f>
        <v>160000</v>
      </c>
      <c r="H11" s="56">
        <f>SUM(H5:H10)</f>
        <v>251200</v>
      </c>
      <c r="I11" s="54"/>
      <c r="J11" s="54"/>
    </row>
    <row r="12" spans="1:10" ht="13.5" customHeight="1" x14ac:dyDescent="0.25">
      <c r="A12" s="44" t="s">
        <v>104</v>
      </c>
      <c r="B12" s="44"/>
      <c r="C12" s="44"/>
      <c r="D12" s="44"/>
      <c r="E12" s="44"/>
      <c r="F12" s="44"/>
      <c r="G12" s="44"/>
      <c r="H12" s="44"/>
      <c r="I12" s="44"/>
      <c r="J12" s="44"/>
    </row>
    <row r="13" spans="1:10" ht="24" x14ac:dyDescent="0.25">
      <c r="A13" s="45">
        <v>7</v>
      </c>
      <c r="B13" s="92" t="s">
        <v>105</v>
      </c>
      <c r="C13" s="46" t="s">
        <v>360</v>
      </c>
      <c r="D13" s="47">
        <v>2</v>
      </c>
      <c r="E13" s="48" t="s">
        <v>99</v>
      </c>
      <c r="F13" s="49">
        <v>28000</v>
      </c>
      <c r="G13" s="50">
        <f t="shared" ref="G13:G18" si="1">D13*F13</f>
        <v>56000</v>
      </c>
      <c r="H13" s="51">
        <f>G13*PARAMETERS!$B$33</f>
        <v>87920</v>
      </c>
      <c r="I13" s="52" t="s">
        <v>106</v>
      </c>
      <c r="J13" s="53" t="s">
        <v>107</v>
      </c>
    </row>
    <row r="14" spans="1:10" ht="24" x14ac:dyDescent="0.25">
      <c r="A14" s="45">
        <v>8</v>
      </c>
      <c r="B14" s="92" t="s">
        <v>105</v>
      </c>
      <c r="C14" s="46" t="s">
        <v>361</v>
      </c>
      <c r="D14" s="47">
        <v>2</v>
      </c>
      <c r="E14" s="48" t="s">
        <v>99</v>
      </c>
      <c r="F14" s="49">
        <v>14599</v>
      </c>
      <c r="G14" s="50">
        <f t="shared" si="1"/>
        <v>29198</v>
      </c>
      <c r="H14" s="51">
        <f>G14*PARAMETERS!$B$33</f>
        <v>45840.86</v>
      </c>
      <c r="I14" s="52" t="s">
        <v>106</v>
      </c>
      <c r="J14" s="53" t="s">
        <v>108</v>
      </c>
    </row>
    <row r="15" spans="1:10" ht="24" x14ac:dyDescent="0.25">
      <c r="A15" s="45">
        <v>9</v>
      </c>
      <c r="B15" s="92" t="s">
        <v>105</v>
      </c>
      <c r="C15" s="46" t="s">
        <v>362</v>
      </c>
      <c r="D15" s="47">
        <v>2</v>
      </c>
      <c r="E15" s="48" t="s">
        <v>99</v>
      </c>
      <c r="F15" s="49">
        <v>8000</v>
      </c>
      <c r="G15" s="50">
        <f t="shared" si="1"/>
        <v>16000</v>
      </c>
      <c r="H15" s="51">
        <f>G15*PARAMETERS!$B$33</f>
        <v>25120</v>
      </c>
      <c r="I15" s="52" t="s">
        <v>106</v>
      </c>
      <c r="J15" s="53" t="s">
        <v>109</v>
      </c>
    </row>
    <row r="16" spans="1:10" ht="24" x14ac:dyDescent="0.25">
      <c r="A16" s="45">
        <v>10</v>
      </c>
      <c r="B16" s="92" t="s">
        <v>105</v>
      </c>
      <c r="C16" s="46" t="s">
        <v>363</v>
      </c>
      <c r="D16" s="47">
        <v>2</v>
      </c>
      <c r="E16" s="48" t="s">
        <v>99</v>
      </c>
      <c r="F16" s="49">
        <v>6000</v>
      </c>
      <c r="G16" s="50">
        <f t="shared" si="1"/>
        <v>12000</v>
      </c>
      <c r="H16" s="51">
        <f>G16*PARAMETERS!$B$33</f>
        <v>18840</v>
      </c>
      <c r="I16" s="52" t="s">
        <v>106</v>
      </c>
      <c r="J16" s="53" t="s">
        <v>110</v>
      </c>
    </row>
    <row r="17" spans="1:10" ht="24" x14ac:dyDescent="0.25">
      <c r="A17" s="45">
        <v>11</v>
      </c>
      <c r="B17" s="92" t="s">
        <v>105</v>
      </c>
      <c r="C17" s="46" t="s">
        <v>364</v>
      </c>
      <c r="D17" s="47">
        <v>2</v>
      </c>
      <c r="E17" s="48" t="s">
        <v>99</v>
      </c>
      <c r="F17" s="49">
        <v>12000</v>
      </c>
      <c r="G17" s="50">
        <f t="shared" si="1"/>
        <v>24000</v>
      </c>
      <c r="H17" s="51">
        <f>G17*PARAMETERS!$B$33</f>
        <v>37680</v>
      </c>
      <c r="I17" s="52" t="s">
        <v>106</v>
      </c>
      <c r="J17" s="53" t="s">
        <v>111</v>
      </c>
    </row>
    <row r="18" spans="1:10" ht="24" x14ac:dyDescent="0.25">
      <c r="A18" s="45">
        <v>12</v>
      </c>
      <c r="B18" s="92" t="s">
        <v>105</v>
      </c>
      <c r="C18" s="46" t="s">
        <v>365</v>
      </c>
      <c r="D18" s="47">
        <v>2</v>
      </c>
      <c r="E18" s="48" t="s">
        <v>99</v>
      </c>
      <c r="F18" s="49">
        <v>3000</v>
      </c>
      <c r="G18" s="50">
        <f t="shared" si="1"/>
        <v>6000</v>
      </c>
      <c r="H18" s="51">
        <f>G18*PARAMETERS!$B$33</f>
        <v>9420</v>
      </c>
      <c r="I18" s="52" t="s">
        <v>106</v>
      </c>
      <c r="J18" s="53" t="s">
        <v>112</v>
      </c>
    </row>
    <row r="19" spans="1:10" ht="12.75" customHeight="1" x14ac:dyDescent="0.25">
      <c r="A19" s="54"/>
      <c r="B19" s="93"/>
      <c r="C19" s="54"/>
      <c r="D19" s="54"/>
      <c r="E19" s="54"/>
      <c r="F19" s="54"/>
      <c r="G19" s="55">
        <f>SUM(G13:G18)</f>
        <v>143198</v>
      </c>
      <c r="H19" s="56">
        <f>SUM(H13:H18)</f>
        <v>224820.86</v>
      </c>
      <c r="I19" s="54"/>
      <c r="J19" s="54"/>
    </row>
    <row r="20" spans="1:10" ht="13.5" customHeight="1" x14ac:dyDescent="0.25">
      <c r="A20" s="44" t="s">
        <v>113</v>
      </c>
      <c r="B20" s="44"/>
      <c r="C20" s="44"/>
      <c r="D20" s="44"/>
      <c r="E20" s="44"/>
      <c r="F20" s="44"/>
      <c r="G20" s="44"/>
      <c r="H20" s="44"/>
      <c r="I20" s="44"/>
      <c r="J20" s="44"/>
    </row>
    <row r="21" spans="1:10" ht="24" x14ac:dyDescent="0.25">
      <c r="A21" s="45">
        <v>13</v>
      </c>
      <c r="B21" s="92" t="s">
        <v>114</v>
      </c>
      <c r="C21" s="46" t="s">
        <v>366</v>
      </c>
      <c r="D21" s="47">
        <v>1</v>
      </c>
      <c r="E21" s="48" t="s">
        <v>93</v>
      </c>
      <c r="F21" s="49">
        <v>25000</v>
      </c>
      <c r="G21" s="50">
        <f>D21*F21</f>
        <v>25000</v>
      </c>
      <c r="H21" s="51">
        <f>G21*PARAMETERS!$B$33</f>
        <v>39250</v>
      </c>
      <c r="I21" s="52" t="s">
        <v>94</v>
      </c>
      <c r="J21" s="53" t="s">
        <v>115</v>
      </c>
    </row>
    <row r="22" spans="1:10" ht="24" x14ac:dyDescent="0.25">
      <c r="A22" s="45">
        <v>14</v>
      </c>
      <c r="B22" s="92" t="s">
        <v>114</v>
      </c>
      <c r="C22" s="46" t="s">
        <v>367</v>
      </c>
      <c r="D22" s="47">
        <v>1</v>
      </c>
      <c r="E22" s="48" t="s">
        <v>93</v>
      </c>
      <c r="F22" s="49">
        <v>8000</v>
      </c>
      <c r="G22" s="50">
        <f>D22*F22</f>
        <v>8000</v>
      </c>
      <c r="H22" s="51">
        <f>G22*PARAMETERS!$B$33</f>
        <v>12560</v>
      </c>
      <c r="I22" s="52" t="s">
        <v>94</v>
      </c>
      <c r="J22" s="53" t="s">
        <v>116</v>
      </c>
    </row>
    <row r="23" spans="1:10" ht="22.5" x14ac:dyDescent="0.25">
      <c r="A23" s="45">
        <v>15</v>
      </c>
      <c r="B23" s="92" t="s">
        <v>114</v>
      </c>
      <c r="C23" s="46" t="s">
        <v>368</v>
      </c>
      <c r="D23" s="47">
        <v>6</v>
      </c>
      <c r="E23" s="48" t="s">
        <v>99</v>
      </c>
      <c r="F23" s="49">
        <v>1000</v>
      </c>
      <c r="G23" s="50">
        <f>D23*F23</f>
        <v>6000</v>
      </c>
      <c r="H23" s="51">
        <f>G23*PARAMETERS!$B$33</f>
        <v>9420</v>
      </c>
      <c r="I23" s="52" t="s">
        <v>94</v>
      </c>
      <c r="J23" s="53" t="s">
        <v>117</v>
      </c>
    </row>
    <row r="24" spans="1:10" ht="24" x14ac:dyDescent="0.25">
      <c r="A24" s="45">
        <v>16</v>
      </c>
      <c r="B24" s="92" t="s">
        <v>114</v>
      </c>
      <c r="C24" s="46" t="s">
        <v>369</v>
      </c>
      <c r="D24" s="47">
        <v>1</v>
      </c>
      <c r="E24" s="48" t="s">
        <v>93</v>
      </c>
      <c r="F24" s="49">
        <v>6000</v>
      </c>
      <c r="G24" s="50">
        <f>D24*F24</f>
        <v>6000</v>
      </c>
      <c r="H24" s="51">
        <f>G24*PARAMETERS!$B$33</f>
        <v>9420</v>
      </c>
      <c r="I24" s="52" t="s">
        <v>94</v>
      </c>
      <c r="J24" s="53" t="s">
        <v>118</v>
      </c>
    </row>
    <row r="25" spans="1:10" ht="12.75" customHeight="1" x14ac:dyDescent="0.25">
      <c r="A25" s="54"/>
      <c r="B25" s="93"/>
      <c r="C25" s="54"/>
      <c r="D25" s="54"/>
      <c r="E25" s="54"/>
      <c r="F25" s="54"/>
      <c r="G25" s="55">
        <f>SUM(G21:G24)</f>
        <v>45000</v>
      </c>
      <c r="H25" s="56">
        <f>SUM(H21:H24)</f>
        <v>70650</v>
      </c>
      <c r="I25" s="54"/>
      <c r="J25" s="54"/>
    </row>
    <row r="26" spans="1:10" ht="13.5" customHeight="1" x14ac:dyDescent="0.25">
      <c r="A26" s="44" t="s">
        <v>119</v>
      </c>
      <c r="B26" s="44"/>
      <c r="C26" s="44"/>
      <c r="D26" s="44"/>
      <c r="E26" s="44"/>
      <c r="F26" s="44"/>
      <c r="G26" s="44"/>
      <c r="H26" s="44"/>
      <c r="I26" s="44"/>
      <c r="J26" s="44"/>
    </row>
    <row r="27" spans="1:10" ht="24" x14ac:dyDescent="0.25">
      <c r="A27" s="45">
        <v>17</v>
      </c>
      <c r="B27" s="92" t="s">
        <v>120</v>
      </c>
      <c r="C27" s="46" t="s">
        <v>370</v>
      </c>
      <c r="D27" s="47">
        <v>1</v>
      </c>
      <c r="E27" s="48" t="s">
        <v>99</v>
      </c>
      <c r="F27" s="49">
        <v>5000</v>
      </c>
      <c r="G27" s="50">
        <f t="shared" ref="G27:G32" si="2">D27*F27</f>
        <v>5000</v>
      </c>
      <c r="H27" s="51">
        <f>G27*PARAMETERS!$B$33</f>
        <v>7850</v>
      </c>
      <c r="I27" s="52" t="s">
        <v>106</v>
      </c>
      <c r="J27" s="53" t="s">
        <v>121</v>
      </c>
    </row>
    <row r="28" spans="1:10" ht="24" x14ac:dyDescent="0.25">
      <c r="A28" s="45">
        <v>18</v>
      </c>
      <c r="B28" s="92" t="s">
        <v>120</v>
      </c>
      <c r="C28" s="46" t="s">
        <v>122</v>
      </c>
      <c r="D28" s="47">
        <v>1</v>
      </c>
      <c r="E28" s="48" t="s">
        <v>99</v>
      </c>
      <c r="F28" s="49">
        <v>3500</v>
      </c>
      <c r="G28" s="50">
        <f t="shared" si="2"/>
        <v>3500</v>
      </c>
      <c r="H28" s="51">
        <f>G28*PARAMETERS!$B$33</f>
        <v>5495</v>
      </c>
      <c r="I28" s="52" t="s">
        <v>106</v>
      </c>
      <c r="J28" s="53" t="s">
        <v>123</v>
      </c>
    </row>
    <row r="29" spans="1:10" ht="24" x14ac:dyDescent="0.25">
      <c r="A29" s="45">
        <v>19</v>
      </c>
      <c r="B29" s="92" t="s">
        <v>120</v>
      </c>
      <c r="C29" s="46" t="s">
        <v>124</v>
      </c>
      <c r="D29" s="47">
        <v>1</v>
      </c>
      <c r="E29" s="48" t="s">
        <v>93</v>
      </c>
      <c r="F29" s="49">
        <v>8000</v>
      </c>
      <c r="G29" s="50">
        <f t="shared" si="2"/>
        <v>8000</v>
      </c>
      <c r="H29" s="51">
        <f>G29*PARAMETERS!$B$33</f>
        <v>12560</v>
      </c>
      <c r="I29" s="52" t="s">
        <v>106</v>
      </c>
      <c r="J29" s="53" t="s">
        <v>125</v>
      </c>
    </row>
    <row r="30" spans="1:10" ht="22.5" x14ac:dyDescent="0.25">
      <c r="A30" s="45">
        <v>20</v>
      </c>
      <c r="B30" s="92" t="s">
        <v>120</v>
      </c>
      <c r="C30" s="46" t="s">
        <v>371</v>
      </c>
      <c r="D30" s="47">
        <v>1</v>
      </c>
      <c r="E30" s="48" t="s">
        <v>93</v>
      </c>
      <c r="F30" s="49">
        <v>2500</v>
      </c>
      <c r="G30" s="50">
        <f t="shared" si="2"/>
        <v>2500</v>
      </c>
      <c r="H30" s="51">
        <f>G30*PARAMETERS!$B$33</f>
        <v>3925</v>
      </c>
      <c r="I30" s="52" t="s">
        <v>106</v>
      </c>
      <c r="J30" s="53" t="s">
        <v>126</v>
      </c>
    </row>
    <row r="31" spans="1:10" ht="24" x14ac:dyDescent="0.25">
      <c r="A31" s="45">
        <v>21</v>
      </c>
      <c r="B31" s="92" t="s">
        <v>120</v>
      </c>
      <c r="C31" s="46" t="s">
        <v>372</v>
      </c>
      <c r="D31" s="47">
        <v>1</v>
      </c>
      <c r="E31" s="48" t="s">
        <v>93</v>
      </c>
      <c r="F31" s="49">
        <v>2200</v>
      </c>
      <c r="G31" s="50">
        <f t="shared" si="2"/>
        <v>2200</v>
      </c>
      <c r="H31" s="51">
        <f>G31*PARAMETERS!$B$33</f>
        <v>3454</v>
      </c>
      <c r="I31" s="52" t="s">
        <v>106</v>
      </c>
      <c r="J31" s="53" t="s">
        <v>127</v>
      </c>
    </row>
    <row r="32" spans="1:10" ht="24" x14ac:dyDescent="0.25">
      <c r="A32" s="45">
        <v>22</v>
      </c>
      <c r="B32" s="92" t="s">
        <v>120</v>
      </c>
      <c r="C32" s="46" t="s">
        <v>128</v>
      </c>
      <c r="D32" s="47">
        <v>1</v>
      </c>
      <c r="E32" s="48" t="s">
        <v>99</v>
      </c>
      <c r="F32" s="49">
        <v>500</v>
      </c>
      <c r="G32" s="50">
        <f t="shared" si="2"/>
        <v>500</v>
      </c>
      <c r="H32" s="51">
        <f>G32*PARAMETERS!$B$33</f>
        <v>785</v>
      </c>
      <c r="I32" s="52" t="s">
        <v>106</v>
      </c>
      <c r="J32" s="53" t="s">
        <v>129</v>
      </c>
    </row>
    <row r="33" spans="1:10" ht="12.75" customHeight="1" x14ac:dyDescent="0.25">
      <c r="A33" s="54"/>
      <c r="B33" s="93"/>
      <c r="C33" s="54"/>
      <c r="D33" s="54"/>
      <c r="E33" s="54"/>
      <c r="F33" s="54"/>
      <c r="G33" s="55">
        <f>SUM(G27:G32)</f>
        <v>21700</v>
      </c>
      <c r="H33" s="56">
        <f>SUM(H27:H32)</f>
        <v>34069</v>
      </c>
      <c r="I33" s="54"/>
      <c r="J33" s="54"/>
    </row>
    <row r="34" spans="1:10" ht="13.5" customHeight="1" x14ac:dyDescent="0.25">
      <c r="A34" s="44" t="s">
        <v>130</v>
      </c>
      <c r="B34" s="44"/>
      <c r="C34" s="44"/>
      <c r="D34" s="44"/>
      <c r="E34" s="44"/>
      <c r="F34" s="44"/>
      <c r="G34" s="44"/>
      <c r="H34" s="44"/>
      <c r="I34" s="44"/>
      <c r="J34" s="44"/>
    </row>
    <row r="35" spans="1:10" ht="24" x14ac:dyDescent="0.25">
      <c r="A35" s="45">
        <v>23</v>
      </c>
      <c r="B35" s="92" t="s">
        <v>131</v>
      </c>
      <c r="C35" s="46" t="s">
        <v>373</v>
      </c>
      <c r="D35" s="47">
        <v>6</v>
      </c>
      <c r="E35" s="48" t="s">
        <v>99</v>
      </c>
      <c r="F35" s="49">
        <v>10000</v>
      </c>
      <c r="G35" s="50">
        <f t="shared" ref="G35:G42" si="3">D35*F35</f>
        <v>60000</v>
      </c>
      <c r="H35" s="51">
        <f>G35*PARAMETERS!$B$33</f>
        <v>94200</v>
      </c>
      <c r="I35" s="52" t="s">
        <v>106</v>
      </c>
      <c r="J35" s="53" t="s">
        <v>132</v>
      </c>
    </row>
    <row r="36" spans="1:10" ht="22.5" x14ac:dyDescent="0.25">
      <c r="A36" s="45">
        <v>24</v>
      </c>
      <c r="B36" s="92" t="s">
        <v>131</v>
      </c>
      <c r="C36" s="46" t="s">
        <v>374</v>
      </c>
      <c r="D36" s="47">
        <v>6</v>
      </c>
      <c r="E36" s="48" t="s">
        <v>99</v>
      </c>
      <c r="F36" s="49">
        <v>2500</v>
      </c>
      <c r="G36" s="50">
        <f t="shared" si="3"/>
        <v>15000</v>
      </c>
      <c r="H36" s="51">
        <f>G36*PARAMETERS!$B$33</f>
        <v>23550</v>
      </c>
      <c r="I36" s="52" t="s">
        <v>106</v>
      </c>
      <c r="J36" s="53" t="s">
        <v>123</v>
      </c>
    </row>
    <row r="37" spans="1:10" ht="22.5" x14ac:dyDescent="0.25">
      <c r="A37" s="45">
        <v>25</v>
      </c>
      <c r="B37" s="92" t="s">
        <v>131</v>
      </c>
      <c r="C37" s="46" t="s">
        <v>375</v>
      </c>
      <c r="D37" s="47">
        <v>6</v>
      </c>
      <c r="E37" s="48" t="s">
        <v>99</v>
      </c>
      <c r="F37" s="49">
        <v>3000</v>
      </c>
      <c r="G37" s="50">
        <f t="shared" si="3"/>
        <v>18000</v>
      </c>
      <c r="H37" s="51">
        <f>G37*PARAMETERS!$B$33</f>
        <v>28260</v>
      </c>
      <c r="I37" s="52" t="s">
        <v>106</v>
      </c>
      <c r="J37" s="53" t="s">
        <v>133</v>
      </c>
    </row>
    <row r="38" spans="1:10" ht="22.5" x14ac:dyDescent="0.25">
      <c r="A38" s="45">
        <v>26</v>
      </c>
      <c r="B38" s="92" t="s">
        <v>131</v>
      </c>
      <c r="C38" s="46" t="s">
        <v>376</v>
      </c>
      <c r="D38" s="47">
        <v>6</v>
      </c>
      <c r="E38" s="48" t="s">
        <v>99</v>
      </c>
      <c r="F38" s="49">
        <v>600</v>
      </c>
      <c r="G38" s="50">
        <f t="shared" si="3"/>
        <v>3600</v>
      </c>
      <c r="H38" s="51">
        <f>G38*PARAMETERS!$B$33</f>
        <v>5652</v>
      </c>
      <c r="I38" s="52" t="s">
        <v>106</v>
      </c>
      <c r="J38" s="53" t="s">
        <v>134</v>
      </c>
    </row>
    <row r="39" spans="1:10" ht="24" x14ac:dyDescent="0.25">
      <c r="A39" s="45">
        <v>27</v>
      </c>
      <c r="B39" s="92" t="s">
        <v>131</v>
      </c>
      <c r="C39" s="46" t="s">
        <v>377</v>
      </c>
      <c r="D39" s="47">
        <v>6</v>
      </c>
      <c r="E39" s="48" t="s">
        <v>99</v>
      </c>
      <c r="F39" s="49">
        <v>1800</v>
      </c>
      <c r="G39" s="50">
        <f t="shared" si="3"/>
        <v>10800</v>
      </c>
      <c r="H39" s="51">
        <f>G39*PARAMETERS!$B$33</f>
        <v>16956</v>
      </c>
      <c r="I39" s="52" t="s">
        <v>106</v>
      </c>
      <c r="J39" s="53" t="s">
        <v>135</v>
      </c>
    </row>
    <row r="40" spans="1:10" ht="22.5" x14ac:dyDescent="0.25">
      <c r="A40" s="45">
        <v>28</v>
      </c>
      <c r="B40" s="92" t="s">
        <v>131</v>
      </c>
      <c r="C40" s="46" t="s">
        <v>378</v>
      </c>
      <c r="D40" s="47">
        <v>6</v>
      </c>
      <c r="E40" s="48" t="s">
        <v>99</v>
      </c>
      <c r="F40" s="49">
        <v>1500</v>
      </c>
      <c r="G40" s="50">
        <f t="shared" si="3"/>
        <v>9000</v>
      </c>
      <c r="H40" s="51">
        <f>G40*PARAMETERS!$B$33</f>
        <v>14130</v>
      </c>
      <c r="I40" s="52" t="s">
        <v>106</v>
      </c>
      <c r="J40" s="53" t="s">
        <v>136</v>
      </c>
    </row>
    <row r="41" spans="1:10" ht="22.5" x14ac:dyDescent="0.25">
      <c r="A41" s="45">
        <v>29</v>
      </c>
      <c r="B41" s="92" t="s">
        <v>131</v>
      </c>
      <c r="C41" s="46" t="s">
        <v>379</v>
      </c>
      <c r="D41" s="47">
        <v>6</v>
      </c>
      <c r="E41" s="48" t="s">
        <v>99</v>
      </c>
      <c r="F41" s="49">
        <v>800</v>
      </c>
      <c r="G41" s="50">
        <f t="shared" si="3"/>
        <v>4800</v>
      </c>
      <c r="H41" s="51">
        <f>G41*PARAMETERS!$B$33</f>
        <v>7536</v>
      </c>
      <c r="I41" s="52" t="s">
        <v>106</v>
      </c>
      <c r="J41" s="53" t="s">
        <v>137</v>
      </c>
    </row>
    <row r="42" spans="1:10" ht="24" x14ac:dyDescent="0.25">
      <c r="A42" s="45">
        <v>30</v>
      </c>
      <c r="B42" s="92" t="s">
        <v>131</v>
      </c>
      <c r="C42" s="46" t="s">
        <v>380</v>
      </c>
      <c r="D42" s="47">
        <v>3</v>
      </c>
      <c r="E42" s="48" t="s">
        <v>99</v>
      </c>
      <c r="F42" s="49">
        <v>500</v>
      </c>
      <c r="G42" s="50">
        <f t="shared" si="3"/>
        <v>1500</v>
      </c>
      <c r="H42" s="51">
        <f>G42*PARAMETERS!$B$33</f>
        <v>2355</v>
      </c>
      <c r="I42" s="52" t="s">
        <v>106</v>
      </c>
      <c r="J42" s="53" t="s">
        <v>129</v>
      </c>
    </row>
    <row r="43" spans="1:10" ht="12.75" customHeight="1" x14ac:dyDescent="0.25">
      <c r="A43" s="54"/>
      <c r="B43" s="93"/>
      <c r="C43" s="54"/>
      <c r="D43" s="54"/>
      <c r="E43" s="54"/>
      <c r="F43" s="54"/>
      <c r="G43" s="55">
        <f>SUM(G35:G42)</f>
        <v>122700</v>
      </c>
      <c r="H43" s="56">
        <f>SUM(H35:H42)</f>
        <v>192639</v>
      </c>
      <c r="I43" s="54"/>
      <c r="J43" s="54"/>
    </row>
    <row r="44" spans="1:10" ht="13.5" customHeight="1" x14ac:dyDescent="0.25">
      <c r="A44" s="44" t="s">
        <v>138</v>
      </c>
      <c r="B44" s="44"/>
      <c r="C44" s="44"/>
      <c r="D44" s="44"/>
      <c r="E44" s="44"/>
      <c r="F44" s="44"/>
      <c r="G44" s="44"/>
      <c r="H44" s="44"/>
      <c r="I44" s="44"/>
      <c r="J44" s="44"/>
    </row>
    <row r="45" spans="1:10" ht="22.5" x14ac:dyDescent="0.25">
      <c r="A45" s="45">
        <v>31</v>
      </c>
      <c r="B45" s="92" t="s">
        <v>139</v>
      </c>
      <c r="C45" s="46" t="s">
        <v>140</v>
      </c>
      <c r="D45" s="47">
        <v>1</v>
      </c>
      <c r="E45" s="48" t="s">
        <v>93</v>
      </c>
      <c r="F45" s="49">
        <v>12000</v>
      </c>
      <c r="G45" s="50">
        <f t="shared" ref="G45:G51" si="4">D45*F45</f>
        <v>12000</v>
      </c>
      <c r="H45" s="51">
        <f>G45*PARAMETERS!$B$33</f>
        <v>18840</v>
      </c>
      <c r="I45" s="52" t="s">
        <v>106</v>
      </c>
      <c r="J45" s="53" t="s">
        <v>141</v>
      </c>
    </row>
    <row r="46" spans="1:10" ht="22.5" x14ac:dyDescent="0.25">
      <c r="A46" s="45">
        <v>32</v>
      </c>
      <c r="B46" s="92" t="s">
        <v>139</v>
      </c>
      <c r="C46" s="46" t="s">
        <v>381</v>
      </c>
      <c r="D46" s="47">
        <v>2</v>
      </c>
      <c r="E46" s="48" t="s">
        <v>99</v>
      </c>
      <c r="F46" s="49">
        <v>2500</v>
      </c>
      <c r="G46" s="50">
        <f t="shared" si="4"/>
        <v>5000</v>
      </c>
      <c r="H46" s="51">
        <f>G46*PARAMETERS!$B$33</f>
        <v>7850</v>
      </c>
      <c r="I46" s="52" t="s">
        <v>106</v>
      </c>
      <c r="J46" s="53" t="s">
        <v>123</v>
      </c>
    </row>
    <row r="47" spans="1:10" ht="24" x14ac:dyDescent="0.25">
      <c r="A47" s="45">
        <v>33</v>
      </c>
      <c r="B47" s="92" t="s">
        <v>139</v>
      </c>
      <c r="C47" s="46" t="s">
        <v>382</v>
      </c>
      <c r="D47" s="47">
        <v>1</v>
      </c>
      <c r="E47" s="48" t="s">
        <v>93</v>
      </c>
      <c r="F47" s="49">
        <v>5000</v>
      </c>
      <c r="G47" s="50">
        <f t="shared" si="4"/>
        <v>5000</v>
      </c>
      <c r="H47" s="51">
        <f>G47*PARAMETERS!$B$33</f>
        <v>7850</v>
      </c>
      <c r="I47" s="52" t="s">
        <v>106</v>
      </c>
      <c r="J47" s="53" t="s">
        <v>142</v>
      </c>
    </row>
    <row r="48" spans="1:10" ht="24" x14ac:dyDescent="0.25">
      <c r="A48" s="45">
        <v>34</v>
      </c>
      <c r="B48" s="92" t="s">
        <v>139</v>
      </c>
      <c r="C48" s="46" t="s">
        <v>143</v>
      </c>
      <c r="D48" s="47">
        <v>1</v>
      </c>
      <c r="E48" s="48" t="s">
        <v>93</v>
      </c>
      <c r="F48" s="49">
        <v>1200</v>
      </c>
      <c r="G48" s="50">
        <f t="shared" si="4"/>
        <v>1200</v>
      </c>
      <c r="H48" s="51">
        <f>G48*PARAMETERS!$B$33</f>
        <v>1884</v>
      </c>
      <c r="I48" s="52" t="s">
        <v>106</v>
      </c>
      <c r="J48" s="53" t="s">
        <v>144</v>
      </c>
    </row>
    <row r="49" spans="1:10" ht="24" x14ac:dyDescent="0.25">
      <c r="A49" s="45">
        <v>35</v>
      </c>
      <c r="B49" s="92" t="s">
        <v>139</v>
      </c>
      <c r="C49" s="46" t="s">
        <v>383</v>
      </c>
      <c r="D49" s="47">
        <v>1</v>
      </c>
      <c r="E49" s="48" t="s">
        <v>93</v>
      </c>
      <c r="F49" s="49">
        <v>3600</v>
      </c>
      <c r="G49" s="50">
        <f t="shared" si="4"/>
        <v>3600</v>
      </c>
      <c r="H49" s="51">
        <f>G49*PARAMETERS!$B$33</f>
        <v>5652</v>
      </c>
      <c r="I49" s="52" t="s">
        <v>106</v>
      </c>
      <c r="J49" s="53" t="s">
        <v>145</v>
      </c>
    </row>
    <row r="50" spans="1:10" ht="22.5" x14ac:dyDescent="0.25">
      <c r="A50" s="45">
        <v>36</v>
      </c>
      <c r="B50" s="92" t="s">
        <v>139</v>
      </c>
      <c r="C50" s="46" t="s">
        <v>384</v>
      </c>
      <c r="D50" s="47">
        <v>1</v>
      </c>
      <c r="E50" s="48" t="s">
        <v>93</v>
      </c>
      <c r="F50" s="49">
        <v>4500</v>
      </c>
      <c r="G50" s="50">
        <f t="shared" si="4"/>
        <v>4500</v>
      </c>
      <c r="H50" s="51">
        <f>G50*PARAMETERS!$B$33</f>
        <v>7065</v>
      </c>
      <c r="I50" s="52" t="s">
        <v>106</v>
      </c>
      <c r="J50" s="53" t="s">
        <v>146</v>
      </c>
    </row>
    <row r="51" spans="1:10" ht="24" x14ac:dyDescent="0.25">
      <c r="A51" s="45">
        <v>37</v>
      </c>
      <c r="B51" s="92" t="s">
        <v>139</v>
      </c>
      <c r="C51" s="46" t="s">
        <v>147</v>
      </c>
      <c r="D51" s="47">
        <v>1</v>
      </c>
      <c r="E51" s="48" t="s">
        <v>99</v>
      </c>
      <c r="F51" s="49">
        <v>500</v>
      </c>
      <c r="G51" s="50">
        <f t="shared" si="4"/>
        <v>500</v>
      </c>
      <c r="H51" s="51">
        <f>G51*PARAMETERS!$B$33</f>
        <v>785</v>
      </c>
      <c r="I51" s="52" t="s">
        <v>106</v>
      </c>
      <c r="J51" s="53" t="s">
        <v>129</v>
      </c>
    </row>
    <row r="52" spans="1:10" ht="12.75" customHeight="1" x14ac:dyDescent="0.25">
      <c r="A52" s="54"/>
      <c r="B52" s="93"/>
      <c r="C52" s="54"/>
      <c r="D52" s="54"/>
      <c r="E52" s="54"/>
      <c r="F52" s="54"/>
      <c r="G52" s="55">
        <f>SUM(G45:G51)</f>
        <v>31800</v>
      </c>
      <c r="H52" s="56">
        <f>SUM(H45:H51)</f>
        <v>49926</v>
      </c>
      <c r="I52" s="54"/>
      <c r="J52" s="54"/>
    </row>
    <row r="53" spans="1:10" ht="13.5" customHeight="1" x14ac:dyDescent="0.25">
      <c r="A53" s="44" t="s">
        <v>148</v>
      </c>
      <c r="B53" s="44"/>
      <c r="C53" s="44"/>
      <c r="D53" s="44"/>
      <c r="E53" s="44"/>
      <c r="F53" s="44"/>
      <c r="G53" s="44"/>
      <c r="H53" s="44"/>
      <c r="I53" s="44"/>
      <c r="J53" s="44"/>
    </row>
    <row r="54" spans="1:10" ht="36" x14ac:dyDescent="0.25">
      <c r="A54" s="45">
        <v>38</v>
      </c>
      <c r="B54" s="92" t="s">
        <v>149</v>
      </c>
      <c r="C54" s="46" t="s">
        <v>385</v>
      </c>
      <c r="D54" s="47">
        <v>1</v>
      </c>
      <c r="E54" s="48" t="s">
        <v>93</v>
      </c>
      <c r="F54" s="49">
        <v>8000</v>
      </c>
      <c r="G54" s="50">
        <f>D54*F54</f>
        <v>8000</v>
      </c>
      <c r="H54" s="51">
        <f>G54*PARAMETERS!$B$33</f>
        <v>12560</v>
      </c>
      <c r="I54" s="52" t="s">
        <v>106</v>
      </c>
      <c r="J54" s="53" t="s">
        <v>150</v>
      </c>
    </row>
    <row r="55" spans="1:10" ht="22.5" x14ac:dyDescent="0.25">
      <c r="A55" s="45">
        <v>39</v>
      </c>
      <c r="B55" s="92" t="s">
        <v>149</v>
      </c>
      <c r="C55" s="46" t="s">
        <v>151</v>
      </c>
      <c r="D55" s="47">
        <v>1</v>
      </c>
      <c r="E55" s="48" t="s">
        <v>99</v>
      </c>
      <c r="F55" s="49">
        <v>6000</v>
      </c>
      <c r="G55" s="50">
        <f>D55*F55</f>
        <v>6000</v>
      </c>
      <c r="H55" s="51">
        <f>G55*PARAMETERS!$B$33</f>
        <v>9420</v>
      </c>
      <c r="I55" s="52" t="s">
        <v>106</v>
      </c>
      <c r="J55" s="53" t="s">
        <v>152</v>
      </c>
    </row>
    <row r="56" spans="1:10" ht="22.5" x14ac:dyDescent="0.25">
      <c r="A56" s="45">
        <v>40</v>
      </c>
      <c r="B56" s="92" t="s">
        <v>149</v>
      </c>
      <c r="C56" s="46" t="s">
        <v>386</v>
      </c>
      <c r="D56" s="47">
        <v>1</v>
      </c>
      <c r="E56" s="48" t="s">
        <v>93</v>
      </c>
      <c r="F56" s="49">
        <v>3500</v>
      </c>
      <c r="G56" s="50">
        <f>D56*F56</f>
        <v>3500</v>
      </c>
      <c r="H56" s="51">
        <f>G56*PARAMETERS!$B$33</f>
        <v>5495</v>
      </c>
      <c r="I56" s="52" t="s">
        <v>106</v>
      </c>
      <c r="J56" s="53" t="s">
        <v>153</v>
      </c>
    </row>
    <row r="57" spans="1:10" ht="22.5" x14ac:dyDescent="0.25">
      <c r="A57" s="45">
        <v>41</v>
      </c>
      <c r="B57" s="92" t="s">
        <v>149</v>
      </c>
      <c r="C57" s="46" t="s">
        <v>387</v>
      </c>
      <c r="D57" s="47">
        <v>1</v>
      </c>
      <c r="E57" s="48" t="s">
        <v>99</v>
      </c>
      <c r="F57" s="49">
        <v>1200</v>
      </c>
      <c r="G57" s="50">
        <f>D57*F57</f>
        <v>1200</v>
      </c>
      <c r="H57" s="51">
        <f>G57*PARAMETERS!$B$33</f>
        <v>1884</v>
      </c>
      <c r="I57" s="52" t="s">
        <v>106</v>
      </c>
      <c r="J57" s="53" t="s">
        <v>154</v>
      </c>
    </row>
    <row r="58" spans="1:10" ht="22.5" x14ac:dyDescent="0.25">
      <c r="A58" s="45">
        <v>42</v>
      </c>
      <c r="B58" s="92" t="s">
        <v>149</v>
      </c>
      <c r="C58" s="46" t="s">
        <v>388</v>
      </c>
      <c r="D58" s="47">
        <v>1</v>
      </c>
      <c r="E58" s="48" t="s">
        <v>93</v>
      </c>
      <c r="F58" s="49">
        <v>2500</v>
      </c>
      <c r="G58" s="50">
        <f>D58*F58</f>
        <v>2500</v>
      </c>
      <c r="H58" s="51">
        <f>G58*PARAMETERS!$B$33</f>
        <v>3925</v>
      </c>
      <c r="I58" s="52" t="s">
        <v>106</v>
      </c>
      <c r="J58" s="53" t="s">
        <v>155</v>
      </c>
    </row>
    <row r="59" spans="1:10" ht="12.75" customHeight="1" x14ac:dyDescent="0.25">
      <c r="A59" s="54"/>
      <c r="B59" s="93"/>
      <c r="C59" s="54"/>
      <c r="D59" s="54"/>
      <c r="E59" s="54"/>
      <c r="F59" s="54"/>
      <c r="G59" s="55">
        <f>SUM(G54:G58)</f>
        <v>21200</v>
      </c>
      <c r="H59" s="56">
        <f>SUM(H54:H58)</f>
        <v>33284</v>
      </c>
      <c r="I59" s="54"/>
      <c r="J59" s="54"/>
    </row>
    <row r="60" spans="1:10" ht="13.5" customHeight="1" x14ac:dyDescent="0.25">
      <c r="A60" s="44" t="s">
        <v>156</v>
      </c>
      <c r="B60" s="44"/>
      <c r="C60" s="44"/>
      <c r="D60" s="44"/>
      <c r="E60" s="44"/>
      <c r="F60" s="44"/>
      <c r="G60" s="44"/>
      <c r="H60" s="44"/>
      <c r="I60" s="44"/>
      <c r="J60" s="44"/>
    </row>
    <row r="61" spans="1:10" ht="36" x14ac:dyDescent="0.25">
      <c r="A61" s="45">
        <v>43</v>
      </c>
      <c r="B61" s="92" t="s">
        <v>157</v>
      </c>
      <c r="C61" s="46" t="s">
        <v>389</v>
      </c>
      <c r="D61" s="47">
        <v>1</v>
      </c>
      <c r="E61" s="48" t="s">
        <v>93</v>
      </c>
      <c r="F61" s="49">
        <v>6000</v>
      </c>
      <c r="G61" s="50">
        <f>D61*F61</f>
        <v>6000</v>
      </c>
      <c r="H61" s="51">
        <f>G61*PARAMETERS!$B$33</f>
        <v>9420</v>
      </c>
      <c r="I61" s="52" t="s">
        <v>158</v>
      </c>
      <c r="J61" s="53" t="s">
        <v>390</v>
      </c>
    </row>
    <row r="62" spans="1:10" ht="24" x14ac:dyDescent="0.25">
      <c r="A62" s="45">
        <v>44</v>
      </c>
      <c r="B62" s="92" t="s">
        <v>157</v>
      </c>
      <c r="C62" s="46" t="s">
        <v>391</v>
      </c>
      <c r="D62" s="47">
        <v>1</v>
      </c>
      <c r="E62" s="48" t="s">
        <v>93</v>
      </c>
      <c r="F62" s="49">
        <v>4000</v>
      </c>
      <c r="G62" s="50">
        <f>D62*F62</f>
        <v>4000</v>
      </c>
      <c r="H62" s="51">
        <f>G62*PARAMETERS!$B$33</f>
        <v>6280</v>
      </c>
      <c r="I62" s="52" t="s">
        <v>158</v>
      </c>
      <c r="J62" s="53" t="s">
        <v>159</v>
      </c>
    </row>
    <row r="63" spans="1:10" ht="36" x14ac:dyDescent="0.25">
      <c r="A63" s="45">
        <v>45</v>
      </c>
      <c r="B63" s="92" t="s">
        <v>157</v>
      </c>
      <c r="C63" s="46" t="s">
        <v>392</v>
      </c>
      <c r="D63" s="47">
        <v>570</v>
      </c>
      <c r="E63" s="48" t="s">
        <v>160</v>
      </c>
      <c r="F63" s="49">
        <v>32</v>
      </c>
      <c r="G63" s="50">
        <f>D63*F63</f>
        <v>18240</v>
      </c>
      <c r="H63" s="51">
        <f>G63*PARAMETERS!$B$33</f>
        <v>28636.800000000003</v>
      </c>
      <c r="I63" s="52" t="s">
        <v>158</v>
      </c>
      <c r="J63" s="53" t="s">
        <v>161</v>
      </c>
    </row>
    <row r="64" spans="1:10" ht="24" x14ac:dyDescent="0.25">
      <c r="A64" s="45">
        <v>46</v>
      </c>
      <c r="B64" s="92" t="s">
        <v>157</v>
      </c>
      <c r="C64" s="46" t="s">
        <v>162</v>
      </c>
      <c r="D64" s="47">
        <v>1</v>
      </c>
      <c r="E64" s="48" t="s">
        <v>93</v>
      </c>
      <c r="F64" s="49">
        <v>8000</v>
      </c>
      <c r="G64" s="50">
        <f>D64*F64</f>
        <v>8000</v>
      </c>
      <c r="H64" s="51">
        <f>G64*PARAMETERS!$B$33</f>
        <v>12560</v>
      </c>
      <c r="I64" s="52" t="s">
        <v>158</v>
      </c>
      <c r="J64" s="53" t="s">
        <v>163</v>
      </c>
    </row>
    <row r="65" spans="1:10" ht="48" x14ac:dyDescent="0.25">
      <c r="A65" s="45">
        <v>47</v>
      </c>
      <c r="B65" s="92" t="s">
        <v>157</v>
      </c>
      <c r="C65" s="46" t="s">
        <v>393</v>
      </c>
      <c r="D65" s="47">
        <v>13484</v>
      </c>
      <c r="E65" s="48" t="s">
        <v>160</v>
      </c>
      <c r="F65" s="49">
        <v>5</v>
      </c>
      <c r="G65" s="50">
        <f>D65*F65</f>
        <v>67420</v>
      </c>
      <c r="H65" s="51">
        <f>G65*PARAMETERS!$B$33</f>
        <v>105849.40000000001</v>
      </c>
      <c r="I65" s="52" t="s">
        <v>158</v>
      </c>
      <c r="J65" s="53" t="s">
        <v>164</v>
      </c>
    </row>
    <row r="66" spans="1:10" ht="12.75" customHeight="1" x14ac:dyDescent="0.25">
      <c r="A66" s="54"/>
      <c r="B66" s="93"/>
      <c r="C66" s="54"/>
      <c r="D66" s="54"/>
      <c r="E66" s="54"/>
      <c r="F66" s="54"/>
      <c r="G66" s="55">
        <f>SUM(G61:G65)</f>
        <v>103660</v>
      </c>
      <c r="H66" s="56">
        <f>SUM(H61:H65)</f>
        <v>162746.20000000001</v>
      </c>
      <c r="I66" s="54"/>
      <c r="J66" s="54"/>
    </row>
    <row r="67" spans="1:10" ht="13.5" customHeight="1" x14ac:dyDescent="0.25">
      <c r="A67" s="44" t="s">
        <v>165</v>
      </c>
      <c r="B67" s="44"/>
      <c r="C67" s="44"/>
      <c r="D67" s="44"/>
      <c r="E67" s="44"/>
      <c r="F67" s="44"/>
      <c r="G67" s="44"/>
      <c r="H67" s="44"/>
      <c r="I67" s="44"/>
      <c r="J67" s="44"/>
    </row>
    <row r="68" spans="1:10" ht="48" x14ac:dyDescent="0.25">
      <c r="A68" s="45">
        <v>48</v>
      </c>
      <c r="B68" s="92" t="s">
        <v>166</v>
      </c>
      <c r="C68" s="46" t="s">
        <v>394</v>
      </c>
      <c r="D68" s="47">
        <v>1</v>
      </c>
      <c r="E68" s="48" t="s">
        <v>93</v>
      </c>
      <c r="F68" s="49">
        <v>22000</v>
      </c>
      <c r="G68" s="50">
        <f t="shared" ref="G68:G81" si="5">D68*F68</f>
        <v>22000</v>
      </c>
      <c r="H68" s="51">
        <f>G68*PARAMETERS!$B$33</f>
        <v>34540</v>
      </c>
      <c r="I68" s="52" t="s">
        <v>167</v>
      </c>
      <c r="J68" s="53" t="s">
        <v>168</v>
      </c>
    </row>
    <row r="69" spans="1:10" ht="48" x14ac:dyDescent="0.25">
      <c r="A69" s="45">
        <v>49</v>
      </c>
      <c r="B69" s="92" t="s">
        <v>166</v>
      </c>
      <c r="C69" s="46" t="s">
        <v>423</v>
      </c>
      <c r="D69" s="47">
        <v>13484</v>
      </c>
      <c r="E69" s="48" t="s">
        <v>160</v>
      </c>
      <c r="F69" s="49">
        <v>3.5</v>
      </c>
      <c r="G69" s="50">
        <f t="shared" si="5"/>
        <v>47194</v>
      </c>
      <c r="H69" s="51">
        <f>G69*PARAMETERS!$B$33</f>
        <v>74094.58</v>
      </c>
      <c r="I69" s="52" t="s">
        <v>167</v>
      </c>
      <c r="J69" s="53" t="s">
        <v>169</v>
      </c>
    </row>
    <row r="70" spans="1:10" ht="24" x14ac:dyDescent="0.25">
      <c r="A70" s="45">
        <v>50</v>
      </c>
      <c r="B70" s="92" t="s">
        <v>166</v>
      </c>
      <c r="C70" s="46" t="s">
        <v>395</v>
      </c>
      <c r="D70" s="47">
        <v>1</v>
      </c>
      <c r="E70" s="48" t="s">
        <v>93</v>
      </c>
      <c r="F70" s="49">
        <v>8500</v>
      </c>
      <c r="G70" s="50">
        <f t="shared" si="5"/>
        <v>8500</v>
      </c>
      <c r="H70" s="51">
        <f>G70*PARAMETERS!$B$33</f>
        <v>13345</v>
      </c>
      <c r="I70" s="52" t="s">
        <v>167</v>
      </c>
      <c r="J70" s="53" t="s">
        <v>170</v>
      </c>
    </row>
    <row r="71" spans="1:10" ht="24" x14ac:dyDescent="0.25">
      <c r="A71" s="45">
        <v>51</v>
      </c>
      <c r="B71" s="92" t="s">
        <v>166</v>
      </c>
      <c r="C71" s="46" t="s">
        <v>424</v>
      </c>
      <c r="D71" s="47">
        <v>1</v>
      </c>
      <c r="E71" s="48" t="s">
        <v>93</v>
      </c>
      <c r="F71" s="49">
        <v>5500</v>
      </c>
      <c r="G71" s="50">
        <f t="shared" si="5"/>
        <v>5500</v>
      </c>
      <c r="H71" s="51">
        <f>G71*PARAMETERS!$B$33</f>
        <v>8635</v>
      </c>
      <c r="I71" s="52" t="s">
        <v>167</v>
      </c>
      <c r="J71" s="53" t="s">
        <v>171</v>
      </c>
    </row>
    <row r="72" spans="1:10" ht="48" x14ac:dyDescent="0.25">
      <c r="A72" s="45">
        <v>52</v>
      </c>
      <c r="B72" s="92" t="s">
        <v>166</v>
      </c>
      <c r="C72" s="46" t="s">
        <v>396</v>
      </c>
      <c r="D72" s="47">
        <v>1</v>
      </c>
      <c r="E72" s="48" t="s">
        <v>99</v>
      </c>
      <c r="F72" s="49">
        <v>108000</v>
      </c>
      <c r="G72" s="50">
        <f t="shared" si="5"/>
        <v>108000</v>
      </c>
      <c r="H72" s="51">
        <f>G72*PARAMETERS!$B$33</f>
        <v>169560</v>
      </c>
      <c r="I72" s="52" t="s">
        <v>167</v>
      </c>
      <c r="J72" s="53" t="s">
        <v>172</v>
      </c>
    </row>
    <row r="73" spans="1:10" ht="36" x14ac:dyDescent="0.25">
      <c r="A73" s="45">
        <v>53</v>
      </c>
      <c r="B73" s="92" t="s">
        <v>166</v>
      </c>
      <c r="C73" s="46" t="s">
        <v>397</v>
      </c>
      <c r="D73" s="47">
        <v>1</v>
      </c>
      <c r="E73" s="48" t="s">
        <v>99</v>
      </c>
      <c r="F73" s="49">
        <v>52000</v>
      </c>
      <c r="G73" s="50">
        <f t="shared" si="5"/>
        <v>52000</v>
      </c>
      <c r="H73" s="51">
        <f>G73*PARAMETERS!$B$33</f>
        <v>81640</v>
      </c>
      <c r="I73" s="52" t="s">
        <v>167</v>
      </c>
      <c r="J73" s="53" t="s">
        <v>173</v>
      </c>
    </row>
    <row r="74" spans="1:10" ht="36" x14ac:dyDescent="0.25">
      <c r="A74" s="45">
        <v>54</v>
      </c>
      <c r="B74" s="92" t="s">
        <v>166</v>
      </c>
      <c r="C74" s="46" t="s">
        <v>398</v>
      </c>
      <c r="D74" s="47">
        <v>2</v>
      </c>
      <c r="E74" s="48" t="s">
        <v>99</v>
      </c>
      <c r="F74" s="49">
        <v>9500</v>
      </c>
      <c r="G74" s="50">
        <f t="shared" si="5"/>
        <v>19000</v>
      </c>
      <c r="H74" s="51">
        <f>G74*PARAMETERS!$B$33</f>
        <v>29830</v>
      </c>
      <c r="I74" s="52" t="s">
        <v>167</v>
      </c>
      <c r="J74" s="53" t="s">
        <v>174</v>
      </c>
    </row>
    <row r="75" spans="1:10" ht="24" x14ac:dyDescent="0.25">
      <c r="A75" s="45">
        <v>55</v>
      </c>
      <c r="B75" s="92" t="s">
        <v>166</v>
      </c>
      <c r="C75" s="46" t="s">
        <v>399</v>
      </c>
      <c r="D75" s="47">
        <v>1</v>
      </c>
      <c r="E75" s="48" t="s">
        <v>99</v>
      </c>
      <c r="F75" s="49">
        <v>17500</v>
      </c>
      <c r="G75" s="50">
        <f t="shared" si="5"/>
        <v>17500</v>
      </c>
      <c r="H75" s="51">
        <f>G75*PARAMETERS!$B$33</f>
        <v>27475</v>
      </c>
      <c r="I75" s="52" t="s">
        <v>167</v>
      </c>
      <c r="J75" s="53" t="s">
        <v>175</v>
      </c>
    </row>
    <row r="76" spans="1:10" ht="48" x14ac:dyDescent="0.25">
      <c r="A76" s="45">
        <v>56</v>
      </c>
      <c r="B76" s="92" t="s">
        <v>166</v>
      </c>
      <c r="C76" s="46" t="s">
        <v>400</v>
      </c>
      <c r="D76" s="47">
        <v>1</v>
      </c>
      <c r="E76" s="48" t="s">
        <v>93</v>
      </c>
      <c r="F76" s="49">
        <v>24000</v>
      </c>
      <c r="G76" s="50">
        <f t="shared" si="5"/>
        <v>24000</v>
      </c>
      <c r="H76" s="51">
        <f>G76*PARAMETERS!$B$33</f>
        <v>37680</v>
      </c>
      <c r="I76" s="52" t="s">
        <v>167</v>
      </c>
      <c r="J76" s="53" t="s">
        <v>176</v>
      </c>
    </row>
    <row r="77" spans="1:10" ht="36" x14ac:dyDescent="0.25">
      <c r="A77" s="45">
        <v>57</v>
      </c>
      <c r="B77" s="92" t="s">
        <v>166</v>
      </c>
      <c r="C77" s="46" t="s">
        <v>401</v>
      </c>
      <c r="D77" s="47">
        <v>13484</v>
      </c>
      <c r="E77" s="48" t="s">
        <v>160</v>
      </c>
      <c r="F77" s="49">
        <v>15</v>
      </c>
      <c r="G77" s="50">
        <f t="shared" si="5"/>
        <v>202260</v>
      </c>
      <c r="H77" s="51">
        <f>G77*PARAMETERS!$B$33</f>
        <v>317548.2</v>
      </c>
      <c r="I77" s="52" t="s">
        <v>167</v>
      </c>
      <c r="J77" s="53" t="s">
        <v>177</v>
      </c>
    </row>
    <row r="78" spans="1:10" ht="24" x14ac:dyDescent="0.25">
      <c r="A78" s="45">
        <v>58</v>
      </c>
      <c r="B78" s="92" t="s">
        <v>166</v>
      </c>
      <c r="C78" s="46" t="s">
        <v>402</v>
      </c>
      <c r="D78" s="47">
        <v>9</v>
      </c>
      <c r="E78" s="48" t="s">
        <v>99</v>
      </c>
      <c r="F78" s="49">
        <v>5500</v>
      </c>
      <c r="G78" s="50">
        <f t="shared" si="5"/>
        <v>49500</v>
      </c>
      <c r="H78" s="51">
        <f>G78*PARAMETERS!$B$33</f>
        <v>77715</v>
      </c>
      <c r="I78" s="52" t="s">
        <v>167</v>
      </c>
      <c r="J78" s="53" t="s">
        <v>178</v>
      </c>
    </row>
    <row r="79" spans="1:10" ht="24" x14ac:dyDescent="0.25">
      <c r="A79" s="45">
        <v>59</v>
      </c>
      <c r="B79" s="92" t="s">
        <v>166</v>
      </c>
      <c r="C79" s="46" t="s">
        <v>403</v>
      </c>
      <c r="D79" s="47">
        <v>2</v>
      </c>
      <c r="E79" s="48" t="s">
        <v>99</v>
      </c>
      <c r="F79" s="49">
        <v>3200</v>
      </c>
      <c r="G79" s="50">
        <f t="shared" si="5"/>
        <v>6400</v>
      </c>
      <c r="H79" s="51">
        <f>G79*PARAMETERS!$B$33</f>
        <v>10048</v>
      </c>
      <c r="I79" s="52" t="s">
        <v>167</v>
      </c>
      <c r="J79" s="53" t="s">
        <v>179</v>
      </c>
    </row>
    <row r="80" spans="1:10" ht="24" x14ac:dyDescent="0.25">
      <c r="A80" s="45">
        <v>60</v>
      </c>
      <c r="B80" s="92" t="s">
        <v>166</v>
      </c>
      <c r="C80" s="46" t="s">
        <v>404</v>
      </c>
      <c r="D80" s="47">
        <v>5</v>
      </c>
      <c r="E80" s="48" t="s">
        <v>99</v>
      </c>
      <c r="F80" s="49">
        <v>2800</v>
      </c>
      <c r="G80" s="50">
        <f t="shared" si="5"/>
        <v>14000</v>
      </c>
      <c r="H80" s="51">
        <f>G80*PARAMETERS!$B$33</f>
        <v>21980</v>
      </c>
      <c r="I80" s="52" t="s">
        <v>167</v>
      </c>
      <c r="J80" s="53" t="s">
        <v>180</v>
      </c>
    </row>
    <row r="81" spans="1:10" ht="36" x14ac:dyDescent="0.25">
      <c r="A81" s="45">
        <v>61</v>
      </c>
      <c r="B81" s="92" t="s">
        <v>166</v>
      </c>
      <c r="C81" s="46" t="s">
        <v>405</v>
      </c>
      <c r="D81" s="47">
        <v>1</v>
      </c>
      <c r="E81" s="48" t="s">
        <v>93</v>
      </c>
      <c r="F81" s="49">
        <v>30000</v>
      </c>
      <c r="G81" s="50">
        <f t="shared" si="5"/>
        <v>30000</v>
      </c>
      <c r="H81" s="51">
        <f>G81*PARAMETERS!$B$33</f>
        <v>47100</v>
      </c>
      <c r="I81" s="52" t="s">
        <v>167</v>
      </c>
      <c r="J81" s="53" t="s">
        <v>181</v>
      </c>
    </row>
    <row r="82" spans="1:10" ht="12.75" customHeight="1" x14ac:dyDescent="0.25">
      <c r="A82" s="54"/>
      <c r="B82" s="93"/>
      <c r="C82" s="54"/>
      <c r="D82" s="54"/>
      <c r="E82" s="54"/>
      <c r="F82" s="54"/>
      <c r="G82" s="55">
        <f>SUM(G68:G81)</f>
        <v>605854</v>
      </c>
      <c r="H82" s="56">
        <f>SUM(H68:H81)</f>
        <v>951190.78</v>
      </c>
      <c r="I82" s="54"/>
      <c r="J82" s="54"/>
    </row>
    <row r="83" spans="1:10" ht="13.5" customHeight="1" x14ac:dyDescent="0.25">
      <c r="A83" s="44" t="s">
        <v>182</v>
      </c>
      <c r="B83" s="44"/>
      <c r="C83" s="44"/>
      <c r="D83" s="44"/>
      <c r="E83" s="44"/>
      <c r="F83" s="44"/>
      <c r="G83" s="44"/>
      <c r="H83" s="44"/>
      <c r="I83" s="44"/>
      <c r="J83" s="44"/>
    </row>
    <row r="84" spans="1:10" ht="36" x14ac:dyDescent="0.25">
      <c r="A84" s="45">
        <v>62</v>
      </c>
      <c r="B84" s="92" t="s">
        <v>183</v>
      </c>
      <c r="C84" s="46" t="s">
        <v>184</v>
      </c>
      <c r="D84" s="47">
        <v>13484</v>
      </c>
      <c r="E84" s="48" t="s">
        <v>160</v>
      </c>
      <c r="F84" s="49">
        <v>5</v>
      </c>
      <c r="G84" s="50">
        <f t="shared" ref="G84:G93" si="6">D84*F84</f>
        <v>67420</v>
      </c>
      <c r="H84" s="51">
        <f>G84*PARAMETERS!$B$33</f>
        <v>105849.40000000001</v>
      </c>
      <c r="I84" s="52" t="s">
        <v>185</v>
      </c>
      <c r="J84" s="53" t="s">
        <v>186</v>
      </c>
    </row>
    <row r="85" spans="1:10" ht="36" x14ac:dyDescent="0.25">
      <c r="A85" s="45">
        <v>63</v>
      </c>
      <c r="B85" s="92" t="s">
        <v>183</v>
      </c>
      <c r="C85" s="46" t="s">
        <v>406</v>
      </c>
      <c r="D85" s="47">
        <v>13484</v>
      </c>
      <c r="E85" s="48" t="s">
        <v>160</v>
      </c>
      <c r="F85" s="49">
        <v>10.5</v>
      </c>
      <c r="G85" s="50">
        <f t="shared" si="6"/>
        <v>141582</v>
      </c>
      <c r="H85" s="51">
        <f>G85*PARAMETERS!$B$33</f>
        <v>222283.74000000002</v>
      </c>
      <c r="I85" s="52" t="s">
        <v>185</v>
      </c>
      <c r="J85" s="53" t="s">
        <v>187</v>
      </c>
    </row>
    <row r="86" spans="1:10" ht="36" x14ac:dyDescent="0.25">
      <c r="A86" s="45">
        <v>64</v>
      </c>
      <c r="B86" s="92" t="s">
        <v>183</v>
      </c>
      <c r="C86" s="46" t="s">
        <v>188</v>
      </c>
      <c r="D86" s="47">
        <v>13484</v>
      </c>
      <c r="E86" s="48" t="s">
        <v>160</v>
      </c>
      <c r="F86" s="49">
        <v>3.5</v>
      </c>
      <c r="G86" s="50">
        <f t="shared" si="6"/>
        <v>47194</v>
      </c>
      <c r="H86" s="51">
        <f>G86*PARAMETERS!$B$33</f>
        <v>74094.58</v>
      </c>
      <c r="I86" s="52" t="s">
        <v>185</v>
      </c>
      <c r="J86" s="53" t="s">
        <v>189</v>
      </c>
    </row>
    <row r="87" spans="1:10" ht="36" x14ac:dyDescent="0.25">
      <c r="A87" s="45">
        <v>65</v>
      </c>
      <c r="B87" s="92" t="s">
        <v>183</v>
      </c>
      <c r="C87" s="46" t="s">
        <v>407</v>
      </c>
      <c r="D87" s="47">
        <v>13484</v>
      </c>
      <c r="E87" s="48" t="s">
        <v>160</v>
      </c>
      <c r="F87" s="49">
        <v>9</v>
      </c>
      <c r="G87" s="50">
        <f t="shared" si="6"/>
        <v>121356</v>
      </c>
      <c r="H87" s="51">
        <f>G87*PARAMETERS!$B$33</f>
        <v>190528.92</v>
      </c>
      <c r="I87" s="52" t="s">
        <v>185</v>
      </c>
      <c r="J87" s="53" t="s">
        <v>190</v>
      </c>
    </row>
    <row r="88" spans="1:10" ht="36" x14ac:dyDescent="0.25">
      <c r="A88" s="45">
        <v>66</v>
      </c>
      <c r="B88" s="92" t="s">
        <v>183</v>
      </c>
      <c r="C88" s="46" t="s">
        <v>408</v>
      </c>
      <c r="D88" s="47">
        <v>1</v>
      </c>
      <c r="E88" s="48" t="s">
        <v>93</v>
      </c>
      <c r="F88" s="49">
        <v>7500</v>
      </c>
      <c r="G88" s="50">
        <f t="shared" si="6"/>
        <v>7500</v>
      </c>
      <c r="H88" s="51">
        <f>G88*PARAMETERS!$B$33</f>
        <v>11775</v>
      </c>
      <c r="I88" s="52" t="s">
        <v>185</v>
      </c>
      <c r="J88" s="53" t="s">
        <v>191</v>
      </c>
    </row>
    <row r="89" spans="1:10" ht="36" x14ac:dyDescent="0.25">
      <c r="A89" s="45">
        <v>67</v>
      </c>
      <c r="B89" s="92" t="s">
        <v>183</v>
      </c>
      <c r="C89" s="46" t="s">
        <v>409</v>
      </c>
      <c r="D89" s="47">
        <v>1</v>
      </c>
      <c r="E89" s="48" t="s">
        <v>99</v>
      </c>
      <c r="F89" s="49">
        <v>5200</v>
      </c>
      <c r="G89" s="50">
        <f t="shared" si="6"/>
        <v>5200</v>
      </c>
      <c r="H89" s="51">
        <f>G89*PARAMETERS!$B$33</f>
        <v>8164</v>
      </c>
      <c r="I89" s="52" t="s">
        <v>185</v>
      </c>
      <c r="J89" s="53" t="s">
        <v>192</v>
      </c>
    </row>
    <row r="90" spans="1:10" ht="36" x14ac:dyDescent="0.25">
      <c r="A90" s="45">
        <v>68</v>
      </c>
      <c r="B90" s="92" t="s">
        <v>183</v>
      </c>
      <c r="C90" s="46" t="s">
        <v>410</v>
      </c>
      <c r="D90" s="47">
        <v>1</v>
      </c>
      <c r="E90" s="48" t="s">
        <v>93</v>
      </c>
      <c r="F90" s="49">
        <v>16500</v>
      </c>
      <c r="G90" s="50">
        <f t="shared" si="6"/>
        <v>16500</v>
      </c>
      <c r="H90" s="51">
        <f>G90*PARAMETERS!$B$33</f>
        <v>25905</v>
      </c>
      <c r="I90" s="52" t="s">
        <v>185</v>
      </c>
      <c r="J90" s="53" t="s">
        <v>193</v>
      </c>
    </row>
    <row r="91" spans="1:10" ht="45" customHeight="1" x14ac:dyDescent="0.25">
      <c r="A91" s="45">
        <v>69</v>
      </c>
      <c r="B91" s="92" t="s">
        <v>183</v>
      </c>
      <c r="C91" s="46" t="s">
        <v>411</v>
      </c>
      <c r="D91" s="47">
        <v>1</v>
      </c>
      <c r="E91" s="48" t="s">
        <v>93</v>
      </c>
      <c r="F91" s="49">
        <v>25000</v>
      </c>
      <c r="G91" s="50">
        <f t="shared" si="6"/>
        <v>25000</v>
      </c>
      <c r="H91" s="51">
        <f>G91*PARAMETERS!$B$33</f>
        <v>39250</v>
      </c>
      <c r="I91" s="52" t="s">
        <v>185</v>
      </c>
      <c r="J91" s="53" t="s">
        <v>194</v>
      </c>
    </row>
    <row r="92" spans="1:10" ht="24" x14ac:dyDescent="0.25">
      <c r="A92" s="45">
        <v>70</v>
      </c>
      <c r="B92" s="92" t="s">
        <v>183</v>
      </c>
      <c r="C92" s="46" t="s">
        <v>412</v>
      </c>
      <c r="D92" s="47">
        <v>1</v>
      </c>
      <c r="E92" s="48" t="s">
        <v>93</v>
      </c>
      <c r="F92" s="49">
        <v>5200</v>
      </c>
      <c r="G92" s="50">
        <f t="shared" si="6"/>
        <v>5200</v>
      </c>
      <c r="H92" s="51">
        <f>G92*PARAMETERS!$B$33</f>
        <v>8164</v>
      </c>
      <c r="I92" s="52" t="s">
        <v>185</v>
      </c>
      <c r="J92" s="53" t="s">
        <v>195</v>
      </c>
    </row>
    <row r="93" spans="1:10" ht="24" x14ac:dyDescent="0.25">
      <c r="A93" s="45">
        <v>71</v>
      </c>
      <c r="B93" s="92" t="s">
        <v>183</v>
      </c>
      <c r="C93" s="46" t="s">
        <v>413</v>
      </c>
      <c r="D93" s="47">
        <v>15</v>
      </c>
      <c r="E93" s="48" t="s">
        <v>99</v>
      </c>
      <c r="F93" s="49">
        <v>435</v>
      </c>
      <c r="G93" s="50">
        <f t="shared" si="6"/>
        <v>6525</v>
      </c>
      <c r="H93" s="51">
        <f>G93*PARAMETERS!$B$33</f>
        <v>10244.25</v>
      </c>
      <c r="I93" s="52" t="s">
        <v>94</v>
      </c>
      <c r="J93" s="53" t="s">
        <v>196</v>
      </c>
    </row>
    <row r="94" spans="1:10" ht="12.75" customHeight="1" x14ac:dyDescent="0.25">
      <c r="A94" s="54"/>
      <c r="B94" s="93"/>
      <c r="C94" s="54"/>
      <c r="D94" s="54"/>
      <c r="E94" s="54"/>
      <c r="F94" s="54"/>
      <c r="G94" s="55">
        <f>SUM(G84:G93)</f>
        <v>443477</v>
      </c>
      <c r="H94" s="56">
        <f>SUM(H84:H93)</f>
        <v>696258.89</v>
      </c>
      <c r="I94" s="54"/>
      <c r="J94" s="54"/>
    </row>
    <row r="95" spans="1:10" ht="13.5" customHeight="1" x14ac:dyDescent="0.25">
      <c r="A95" s="44" t="s">
        <v>197</v>
      </c>
      <c r="B95" s="44"/>
      <c r="C95" s="44"/>
      <c r="D95" s="44"/>
      <c r="E95" s="44"/>
      <c r="F95" s="44"/>
      <c r="G95" s="44"/>
      <c r="H95" s="44"/>
      <c r="I95" s="44"/>
      <c r="J95" s="44"/>
    </row>
    <row r="96" spans="1:10" ht="45" customHeight="1" x14ac:dyDescent="0.25">
      <c r="A96" s="45">
        <v>72</v>
      </c>
      <c r="B96" s="92" t="s">
        <v>198</v>
      </c>
      <c r="C96" s="46" t="s">
        <v>414</v>
      </c>
      <c r="D96" s="47">
        <v>5</v>
      </c>
      <c r="E96" s="48" t="s">
        <v>99</v>
      </c>
      <c r="F96" s="49">
        <v>5500</v>
      </c>
      <c r="G96" s="50">
        <f>D96*F96</f>
        <v>27500</v>
      </c>
      <c r="H96" s="51">
        <f>G96*PARAMETERS!$B$33</f>
        <v>43175</v>
      </c>
      <c r="I96" s="52" t="s">
        <v>199</v>
      </c>
      <c r="J96" s="53" t="s">
        <v>200</v>
      </c>
    </row>
    <row r="97" spans="1:10" ht="45" customHeight="1" x14ac:dyDescent="0.25">
      <c r="A97" s="45">
        <v>73</v>
      </c>
      <c r="B97" s="92" t="s">
        <v>198</v>
      </c>
      <c r="C97" s="46" t="s">
        <v>415</v>
      </c>
      <c r="D97" s="47">
        <v>2</v>
      </c>
      <c r="E97" s="48" t="s">
        <v>99</v>
      </c>
      <c r="F97" s="49">
        <v>2900</v>
      </c>
      <c r="G97" s="50">
        <f>D97*F97</f>
        <v>5800</v>
      </c>
      <c r="H97" s="51">
        <f>G97*PARAMETERS!$B$33</f>
        <v>9106</v>
      </c>
      <c r="I97" s="52" t="s">
        <v>199</v>
      </c>
      <c r="J97" s="53" t="s">
        <v>201</v>
      </c>
    </row>
    <row r="98" spans="1:10" ht="12.75" customHeight="1" x14ac:dyDescent="0.25">
      <c r="A98" s="54"/>
      <c r="B98" s="93"/>
      <c r="C98" s="54"/>
      <c r="D98" s="54"/>
      <c r="E98" s="54"/>
      <c r="F98" s="54"/>
      <c r="G98" s="55">
        <f>SUM(G96:G97)</f>
        <v>33300</v>
      </c>
      <c r="H98" s="56">
        <f>SUM(H96:H97)</f>
        <v>52281</v>
      </c>
      <c r="I98" s="54"/>
      <c r="J98" s="54"/>
    </row>
    <row r="99" spans="1:10" ht="15.75" customHeight="1" x14ac:dyDescent="0.25">
      <c r="A99" s="57" t="s">
        <v>202</v>
      </c>
      <c r="B99" s="57"/>
      <c r="C99" s="57"/>
      <c r="D99" s="57"/>
      <c r="E99" s="57"/>
      <c r="F99" s="57"/>
      <c r="G99" s="58">
        <f>G11+G19+G25+G33+G43+G52+G59+G66+G82+G94+G98</f>
        <v>1731889</v>
      </c>
      <c r="H99" s="59"/>
      <c r="I99" s="60"/>
      <c r="J99" s="60"/>
    </row>
  </sheetData>
  <mergeCells count="14">
    <mergeCell ref="A67:J67"/>
    <mergeCell ref="A83:J83"/>
    <mergeCell ref="A95:J95"/>
    <mergeCell ref="A99:F99"/>
    <mergeCell ref="A26:J26"/>
    <mergeCell ref="A34:J34"/>
    <mergeCell ref="A44:J44"/>
    <mergeCell ref="A53:J53"/>
    <mergeCell ref="A60:J60"/>
    <mergeCell ref="A1:J1"/>
    <mergeCell ref="A2:J2"/>
    <mergeCell ref="A4:J4"/>
    <mergeCell ref="A12:J12"/>
    <mergeCell ref="A20:J20"/>
  </mergeCells>
  <pageMargins left="0.75" right="0.75" top="1" bottom="1" header="0.511811023622047" footer="0.511811023622047"/>
  <pageSetup paperSize="9" orientation="portrait" horizontalDpi="300" verticalDpi="300"/>
  <headerFooter>
    <oddFooter>&amp;L_x000D_&amp;1#&amp;"Calibri"&amp;10&amp;K000000 DISTRIBUTION: DoW COMMUNITY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1"/>
  <sheetViews>
    <sheetView zoomScaleNormal="100" workbookViewId="0">
      <selection activeCell="B34" sqref="B34"/>
    </sheetView>
  </sheetViews>
  <sheetFormatPr defaultColWidth="8.7109375" defaultRowHeight="15" x14ac:dyDescent="0.25"/>
  <cols>
    <col min="1" max="1" width="42" customWidth="1"/>
    <col min="2" max="2" width="35.28515625" bestFit="1" customWidth="1"/>
    <col min="3" max="3" width="14" customWidth="1"/>
    <col min="4" max="4" width="64" customWidth="1"/>
  </cols>
  <sheetData>
    <row r="1" spans="1:4" ht="18" customHeight="1" x14ac:dyDescent="0.25">
      <c r="A1" s="62" t="s">
        <v>203</v>
      </c>
      <c r="B1" s="63"/>
      <c r="C1" s="63"/>
      <c r="D1" s="64"/>
    </row>
    <row r="2" spans="1:4" x14ac:dyDescent="0.25">
      <c r="A2" s="13"/>
      <c r="B2" s="14"/>
      <c r="C2" s="13"/>
      <c r="D2" s="13"/>
    </row>
    <row r="3" spans="1:4" x14ac:dyDescent="0.25">
      <c r="A3" s="65" t="s">
        <v>204</v>
      </c>
      <c r="B3" s="66"/>
      <c r="C3" s="66"/>
      <c r="D3" s="67"/>
    </row>
    <row r="4" spans="1:4" x14ac:dyDescent="0.25">
      <c r="A4" s="15" t="s">
        <v>205</v>
      </c>
      <c r="B4" s="16" t="s">
        <v>206</v>
      </c>
      <c r="C4" s="16" t="s">
        <v>84</v>
      </c>
      <c r="D4" s="15" t="s">
        <v>207</v>
      </c>
    </row>
    <row r="5" spans="1:4" x14ac:dyDescent="0.25">
      <c r="A5" s="17" t="s">
        <v>208</v>
      </c>
      <c r="B5" s="18" t="s">
        <v>209</v>
      </c>
      <c r="C5" s="19" t="s">
        <v>210</v>
      </c>
      <c r="D5" s="20" t="s">
        <v>211</v>
      </c>
    </row>
    <row r="6" spans="1:4" x14ac:dyDescent="0.25">
      <c r="A6" s="17" t="s">
        <v>212</v>
      </c>
      <c r="B6" s="18" t="s">
        <v>213</v>
      </c>
      <c r="C6" s="19" t="s">
        <v>210</v>
      </c>
      <c r="D6" s="20" t="s">
        <v>214</v>
      </c>
    </row>
    <row r="7" spans="1:4" x14ac:dyDescent="0.25">
      <c r="A7" s="17" t="s">
        <v>215</v>
      </c>
      <c r="B7" s="18" t="s">
        <v>216</v>
      </c>
      <c r="C7" s="19" t="s">
        <v>210</v>
      </c>
      <c r="D7" s="20" t="s">
        <v>217</v>
      </c>
    </row>
    <row r="8" spans="1:4" x14ac:dyDescent="0.25">
      <c r="A8" s="17" t="s">
        <v>218</v>
      </c>
      <c r="B8" s="18">
        <v>387624</v>
      </c>
      <c r="C8" s="19" t="s">
        <v>219</v>
      </c>
      <c r="D8" s="20" t="s">
        <v>220</v>
      </c>
    </row>
    <row r="9" spans="1:4" x14ac:dyDescent="0.25">
      <c r="A9" s="17" t="s">
        <v>221</v>
      </c>
      <c r="B9" s="18" t="s">
        <v>222</v>
      </c>
      <c r="C9" s="19" t="s">
        <v>219</v>
      </c>
      <c r="D9" s="20" t="s">
        <v>223</v>
      </c>
    </row>
    <row r="10" spans="1:4" x14ac:dyDescent="0.25">
      <c r="A10" s="17" t="s">
        <v>224</v>
      </c>
      <c r="B10" s="18" t="s">
        <v>225</v>
      </c>
      <c r="C10" s="19" t="s">
        <v>226</v>
      </c>
      <c r="D10" s="20" t="s">
        <v>227</v>
      </c>
    </row>
    <row r="11" spans="1:4" x14ac:dyDescent="0.25">
      <c r="A11" s="17" t="s">
        <v>228</v>
      </c>
      <c r="B11" s="18" t="s">
        <v>229</v>
      </c>
      <c r="C11" s="19" t="s">
        <v>230</v>
      </c>
      <c r="D11" s="20"/>
    </row>
    <row r="12" spans="1:4" x14ac:dyDescent="0.25">
      <c r="A12" s="17" t="s">
        <v>231</v>
      </c>
      <c r="B12" s="18" t="s">
        <v>232</v>
      </c>
      <c r="C12" s="19"/>
      <c r="D12" s="20" t="s">
        <v>233</v>
      </c>
    </row>
    <row r="13" spans="1:4" x14ac:dyDescent="0.25">
      <c r="A13" s="13"/>
      <c r="B13" s="14"/>
      <c r="C13" s="13"/>
      <c r="D13" s="13"/>
    </row>
    <row r="14" spans="1:4" ht="15" customHeight="1" x14ac:dyDescent="0.25">
      <c r="A14" s="65" t="s">
        <v>234</v>
      </c>
      <c r="B14" s="66"/>
      <c r="C14" s="66"/>
      <c r="D14" s="67"/>
    </row>
    <row r="15" spans="1:4" x14ac:dyDescent="0.25">
      <c r="A15" s="15" t="s">
        <v>205</v>
      </c>
      <c r="B15" s="16" t="s">
        <v>206</v>
      </c>
      <c r="C15" s="16" t="s">
        <v>84</v>
      </c>
      <c r="D15" s="15" t="s">
        <v>207</v>
      </c>
    </row>
    <row r="16" spans="1:4" x14ac:dyDescent="0.25">
      <c r="A16" s="17" t="s">
        <v>235</v>
      </c>
      <c r="B16" s="18">
        <v>2024</v>
      </c>
      <c r="C16" s="19" t="s">
        <v>236</v>
      </c>
      <c r="D16" s="20" t="s">
        <v>237</v>
      </c>
    </row>
    <row r="17" spans="1:4" x14ac:dyDescent="0.25">
      <c r="A17" s="17" t="s">
        <v>238</v>
      </c>
      <c r="B17" s="18">
        <v>2027</v>
      </c>
      <c r="C17" s="19" t="s">
        <v>236</v>
      </c>
      <c r="D17" s="20" t="s">
        <v>239</v>
      </c>
    </row>
    <row r="18" spans="1:4" ht="25.5" x14ac:dyDescent="0.25">
      <c r="A18" s="17" t="s">
        <v>240</v>
      </c>
      <c r="B18" s="18">
        <v>1.85</v>
      </c>
      <c r="C18" s="19" t="s">
        <v>241</v>
      </c>
      <c r="D18" s="20" t="s">
        <v>242</v>
      </c>
    </row>
    <row r="19" spans="1:4" x14ac:dyDescent="0.25">
      <c r="A19" s="17" t="s">
        <v>243</v>
      </c>
      <c r="B19" s="21">
        <v>2.1000000000000001E-2</v>
      </c>
      <c r="C19" s="19" t="s">
        <v>244</v>
      </c>
      <c r="D19" s="20" t="s">
        <v>245</v>
      </c>
    </row>
    <row r="20" spans="1:4" x14ac:dyDescent="0.25">
      <c r="A20" s="17" t="s">
        <v>246</v>
      </c>
      <c r="B20" s="18">
        <v>3</v>
      </c>
      <c r="C20" s="19" t="s">
        <v>247</v>
      </c>
      <c r="D20" s="20" t="s">
        <v>248</v>
      </c>
    </row>
    <row r="21" spans="1:4" x14ac:dyDescent="0.25">
      <c r="A21" s="17" t="s">
        <v>249</v>
      </c>
      <c r="B21" s="22">
        <f>(1+B19)^B20</f>
        <v>1.0643322609999997</v>
      </c>
      <c r="C21" s="19" t="s">
        <v>250</v>
      </c>
      <c r="D21" s="20" t="s">
        <v>251</v>
      </c>
    </row>
    <row r="22" spans="1:4" x14ac:dyDescent="0.25">
      <c r="A22" s="17" t="s">
        <v>252</v>
      </c>
      <c r="B22" s="21">
        <v>0.1</v>
      </c>
      <c r="C22" s="19" t="s">
        <v>244</v>
      </c>
      <c r="D22" s="20" t="s">
        <v>253</v>
      </c>
    </row>
    <row r="23" spans="1:4" x14ac:dyDescent="0.25">
      <c r="A23" s="17" t="s">
        <v>254</v>
      </c>
      <c r="B23" s="21">
        <v>0.1</v>
      </c>
      <c r="C23" s="19" t="s">
        <v>244</v>
      </c>
      <c r="D23" s="20" t="s">
        <v>255</v>
      </c>
    </row>
    <row r="24" spans="1:4" x14ac:dyDescent="0.25">
      <c r="A24" s="17" t="s">
        <v>256</v>
      </c>
      <c r="B24" s="21">
        <v>2.5000000000000001E-2</v>
      </c>
      <c r="C24" s="19" t="s">
        <v>244</v>
      </c>
      <c r="D24" s="20" t="s">
        <v>257</v>
      </c>
    </row>
    <row r="25" spans="1:4" x14ac:dyDescent="0.25">
      <c r="A25" s="17" t="s">
        <v>258</v>
      </c>
      <c r="B25" s="21">
        <v>0.06</v>
      </c>
      <c r="C25" s="19" t="s">
        <v>244</v>
      </c>
      <c r="D25" s="20" t="s">
        <v>259</v>
      </c>
    </row>
    <row r="26" spans="1:4" x14ac:dyDescent="0.25">
      <c r="A26" s="17" t="s">
        <v>260</v>
      </c>
      <c r="B26" s="21">
        <v>0.08</v>
      </c>
      <c r="C26" s="19" t="s">
        <v>244</v>
      </c>
      <c r="D26" s="20" t="s">
        <v>261</v>
      </c>
    </row>
    <row r="27" spans="1:4" x14ac:dyDescent="0.25">
      <c r="A27" s="17" t="s">
        <v>262</v>
      </c>
      <c r="B27" s="21">
        <v>0.04</v>
      </c>
      <c r="C27" s="19" t="s">
        <v>244</v>
      </c>
      <c r="D27" s="20" t="s">
        <v>263</v>
      </c>
    </row>
    <row r="28" spans="1:4" x14ac:dyDescent="0.25">
      <c r="A28" s="17" t="s">
        <v>264</v>
      </c>
      <c r="B28" s="21">
        <v>0.04</v>
      </c>
      <c r="C28" s="19" t="s">
        <v>244</v>
      </c>
      <c r="D28" s="20" t="s">
        <v>265</v>
      </c>
    </row>
    <row r="29" spans="1:4" x14ac:dyDescent="0.25">
      <c r="A29" s="17" t="s">
        <v>266</v>
      </c>
      <c r="B29" s="18">
        <v>13484</v>
      </c>
      <c r="C29" s="19" t="s">
        <v>160</v>
      </c>
      <c r="D29" s="20" t="s">
        <v>267</v>
      </c>
    </row>
    <row r="30" spans="1:4" x14ac:dyDescent="0.25">
      <c r="A30" s="13"/>
      <c r="B30" s="14"/>
      <c r="C30" s="13"/>
      <c r="D30" s="13"/>
    </row>
    <row r="31" spans="1:4" ht="15" customHeight="1" x14ac:dyDescent="0.25">
      <c r="A31" s="65" t="s">
        <v>268</v>
      </c>
      <c r="B31" s="66"/>
      <c r="C31" s="66"/>
      <c r="D31" s="67"/>
    </row>
    <row r="32" spans="1:4" ht="12.75" customHeight="1" x14ac:dyDescent="0.25">
      <c r="A32" s="15" t="s">
        <v>205</v>
      </c>
      <c r="B32" s="16" t="s">
        <v>206</v>
      </c>
      <c r="C32" s="16" t="s">
        <v>84</v>
      </c>
      <c r="D32" s="15" t="s">
        <v>207</v>
      </c>
    </row>
    <row r="33" spans="1:4" ht="25.5" customHeight="1" x14ac:dyDescent="0.25">
      <c r="A33" s="23" t="s">
        <v>269</v>
      </c>
      <c r="B33" s="24">
        <v>1.57</v>
      </c>
      <c r="C33" s="25" t="s">
        <v>270</v>
      </c>
      <c r="D33" s="26" t="s">
        <v>271</v>
      </c>
    </row>
    <row r="34" spans="1:4" x14ac:dyDescent="0.25">
      <c r="A34" s="13"/>
      <c r="B34" s="14"/>
      <c r="C34" s="13"/>
      <c r="D34" s="13"/>
    </row>
    <row r="35" spans="1:4" ht="15" customHeight="1" x14ac:dyDescent="0.25">
      <c r="A35" s="65" t="s">
        <v>272</v>
      </c>
      <c r="B35" s="66"/>
      <c r="C35" s="66"/>
      <c r="D35" s="67"/>
    </row>
    <row r="36" spans="1:4" x14ac:dyDescent="0.25">
      <c r="A36" s="15" t="s">
        <v>205</v>
      </c>
      <c r="B36" s="16" t="s">
        <v>206</v>
      </c>
      <c r="C36" s="16" t="s">
        <v>84</v>
      </c>
      <c r="D36" s="15" t="s">
        <v>207</v>
      </c>
    </row>
    <row r="37" spans="1:4" x14ac:dyDescent="0.25">
      <c r="A37" s="17" t="s">
        <v>273</v>
      </c>
      <c r="B37" s="18">
        <v>13484</v>
      </c>
      <c r="C37" s="19" t="s">
        <v>160</v>
      </c>
      <c r="D37" s="20" t="s">
        <v>274</v>
      </c>
    </row>
    <row r="38" spans="1:4" ht="45" customHeight="1" x14ac:dyDescent="0.25">
      <c r="A38" s="17" t="s">
        <v>275</v>
      </c>
      <c r="B38" s="27">
        <v>10893334</v>
      </c>
      <c r="C38" s="19" t="s">
        <v>276</v>
      </c>
      <c r="D38" s="20" t="s">
        <v>277</v>
      </c>
    </row>
    <row r="39" spans="1:4" ht="24.75" customHeight="1" x14ac:dyDescent="0.25">
      <c r="A39" s="20" t="s">
        <v>278</v>
      </c>
      <c r="B39" s="14"/>
      <c r="C39" s="13"/>
      <c r="D39" s="20" t="s">
        <v>279</v>
      </c>
    </row>
    <row r="40" spans="1:4" ht="12.75" customHeight="1" x14ac:dyDescent="0.25">
      <c r="A40" s="17" t="s">
        <v>280</v>
      </c>
      <c r="B40" s="28">
        <v>272333</v>
      </c>
      <c r="C40" s="19" t="s">
        <v>276</v>
      </c>
      <c r="D40" s="20" t="s">
        <v>281</v>
      </c>
    </row>
    <row r="41" spans="1:4" x14ac:dyDescent="0.25">
      <c r="A41" s="13"/>
      <c r="B41" s="14"/>
      <c r="C41" s="13"/>
      <c r="D41" s="13"/>
    </row>
    <row r="42" spans="1:4" ht="15" customHeight="1" x14ac:dyDescent="0.25">
      <c r="A42" s="65" t="s">
        <v>282</v>
      </c>
      <c r="B42" s="66"/>
      <c r="C42" s="66"/>
      <c r="D42" s="67"/>
    </row>
    <row r="43" spans="1:4" x14ac:dyDescent="0.25">
      <c r="A43" s="68" t="s">
        <v>283</v>
      </c>
      <c r="B43" s="69"/>
      <c r="C43" s="69"/>
      <c r="D43" s="70"/>
    </row>
    <row r="44" spans="1:4" x14ac:dyDescent="0.25">
      <c r="A44" s="68" t="s">
        <v>284</v>
      </c>
      <c r="B44" s="69"/>
      <c r="C44" s="69"/>
      <c r="D44" s="70"/>
    </row>
    <row r="45" spans="1:4" x14ac:dyDescent="0.25">
      <c r="A45" s="68" t="s">
        <v>285</v>
      </c>
      <c r="B45" s="69"/>
      <c r="C45" s="69"/>
      <c r="D45" s="70"/>
    </row>
    <row r="46" spans="1:4" x14ac:dyDescent="0.25">
      <c r="A46" s="68" t="s">
        <v>286</v>
      </c>
      <c r="B46" s="69"/>
      <c r="C46" s="69"/>
      <c r="D46" s="70"/>
    </row>
    <row r="47" spans="1:4" x14ac:dyDescent="0.25">
      <c r="A47" s="68" t="s">
        <v>287</v>
      </c>
      <c r="B47" s="69"/>
      <c r="C47" s="69"/>
      <c r="D47" s="70"/>
    </row>
    <row r="48" spans="1:4" x14ac:dyDescent="0.25">
      <c r="A48" s="68" t="s">
        <v>288</v>
      </c>
      <c r="B48" s="69"/>
      <c r="C48" s="69"/>
      <c r="D48" s="70"/>
    </row>
    <row r="49" spans="1:4" x14ac:dyDescent="0.25">
      <c r="A49" s="68" t="s">
        <v>289</v>
      </c>
      <c r="B49" s="69"/>
      <c r="C49" s="69"/>
      <c r="D49" s="70"/>
    </row>
    <row r="50" spans="1:4" x14ac:dyDescent="0.25">
      <c r="A50" s="68" t="s">
        <v>290</v>
      </c>
      <c r="B50" s="69"/>
      <c r="C50" s="69"/>
      <c r="D50" s="70"/>
    </row>
    <row r="51" spans="1:4" x14ac:dyDescent="0.25">
      <c r="A51" s="68" t="s">
        <v>291</v>
      </c>
      <c r="B51" s="69"/>
      <c r="C51" s="69"/>
      <c r="D51" s="70"/>
    </row>
  </sheetData>
  <mergeCells count="15">
    <mergeCell ref="A47:D47"/>
    <mergeCell ref="A48:D48"/>
    <mergeCell ref="A49:D49"/>
    <mergeCell ref="A50:D50"/>
    <mergeCell ref="A51:D51"/>
    <mergeCell ref="A35:D35"/>
    <mergeCell ref="A42:D42"/>
    <mergeCell ref="A43:D43"/>
    <mergeCell ref="A44:D44"/>
    <mergeCell ref="A45:D45"/>
    <mergeCell ref="A46:D46"/>
    <mergeCell ref="A1:D1"/>
    <mergeCell ref="A14:D14"/>
    <mergeCell ref="A31:D31"/>
    <mergeCell ref="A3:D3"/>
  </mergeCells>
  <pageMargins left="0.75" right="0.75" top="1" bottom="1" header="0.511811023622047" footer="0.511811023622047"/>
  <pageSetup paperSize="9" orientation="portrait" horizontalDpi="300" verticalDpi="300"/>
  <headerFooter>
    <oddFooter>&amp;L_x000D_&amp;1#&amp;"Calibri"&amp;10&amp;K000000 DISTRIBUTION: DoW COMMUNITY ONLY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8"/>
  <sheetViews>
    <sheetView zoomScaleNormal="100" workbookViewId="0">
      <pane ySplit="1" topLeftCell="A19" activePane="bottomLeft" state="frozen"/>
      <selection pane="bottomLeft" activeCell="B27" sqref="B27"/>
    </sheetView>
  </sheetViews>
  <sheetFormatPr defaultColWidth="8.7109375" defaultRowHeight="15" x14ac:dyDescent="0.25"/>
  <cols>
    <col min="1" max="1" width="56" customWidth="1"/>
    <col min="2" max="2" width="18" style="39" customWidth="1"/>
    <col min="3" max="3" width="84.28515625" bestFit="1" customWidth="1"/>
  </cols>
  <sheetData>
    <row r="1" spans="1:3" ht="21.75" customHeight="1" x14ac:dyDescent="0.25">
      <c r="A1" s="5" t="s">
        <v>203</v>
      </c>
      <c r="B1" s="5"/>
      <c r="C1" s="5"/>
    </row>
    <row r="2" spans="1:3" ht="15.75" customHeight="1" x14ac:dyDescent="0.25">
      <c r="A2" s="3" t="s">
        <v>292</v>
      </c>
      <c r="B2" s="3"/>
      <c r="C2" s="3"/>
    </row>
    <row r="3" spans="1:3" ht="15.75" customHeight="1" x14ac:dyDescent="0.25">
      <c r="A3" s="6" t="s">
        <v>293</v>
      </c>
      <c r="B3" s="6" t="s">
        <v>294</v>
      </c>
      <c r="C3" s="6" t="s">
        <v>31</v>
      </c>
    </row>
    <row r="4" spans="1:3" ht="15.75" customHeight="1" x14ac:dyDescent="0.25">
      <c r="A4" s="7" t="s">
        <v>295</v>
      </c>
      <c r="B4" s="71">
        <f>SCOPE_DETAIL!G11*PARAMETERS!$B$18*PARAMETERS!$B$21*(1+PARAMETERS!$B$22)/1000</f>
        <v>346.54658418159988</v>
      </c>
      <c r="C4" s="29" t="s">
        <v>296</v>
      </c>
    </row>
    <row r="5" spans="1:3" ht="15.75" customHeight="1" x14ac:dyDescent="0.25">
      <c r="A5" s="7" t="s">
        <v>297</v>
      </c>
      <c r="B5" s="71">
        <f>SCOPE_DETAIL!G19*PARAMETERS!$B$18*PARAMETERS!$B$21*(1+PARAMETERS!$B$22)/1000</f>
        <v>310.15486101022964</v>
      </c>
      <c r="C5" s="29" t="s">
        <v>298</v>
      </c>
    </row>
    <row r="6" spans="1:3" ht="15.75" customHeight="1" x14ac:dyDescent="0.25">
      <c r="A6" s="7" t="s">
        <v>299</v>
      </c>
      <c r="B6" s="71">
        <f>SCOPE_DETAIL!G25*PARAMETERS!$B$18*PARAMETERS!$B$21*(1+PARAMETERS!$B$22)/1000</f>
        <v>97.466226801074981</v>
      </c>
      <c r="C6" s="29" t="s">
        <v>296</v>
      </c>
    </row>
    <row r="7" spans="1:3" ht="15.75" customHeight="1" x14ac:dyDescent="0.25">
      <c r="A7" s="7" t="s">
        <v>300</v>
      </c>
      <c r="B7" s="71">
        <f>SCOPE_DETAIL!G33*PARAMETERS!$B$18*PARAMETERS!$B$21*(1+PARAMETERS!$B$22)/1000</f>
        <v>47.000380479629484</v>
      </c>
      <c r="C7" s="29" t="s">
        <v>298</v>
      </c>
    </row>
    <row r="8" spans="1:3" ht="15.75" customHeight="1" x14ac:dyDescent="0.25">
      <c r="A8" s="7" t="s">
        <v>301</v>
      </c>
      <c r="B8" s="71">
        <f>SCOPE_DETAIL!G43*PARAMETERS!$B$18*PARAMETERS!$B$21*(1+PARAMETERS!$B$22)/1000</f>
        <v>265.7579117442645</v>
      </c>
      <c r="C8" s="29" t="s">
        <v>298</v>
      </c>
    </row>
    <row r="9" spans="1:3" ht="15.75" customHeight="1" x14ac:dyDescent="0.25">
      <c r="A9" s="7" t="s">
        <v>302</v>
      </c>
      <c r="B9" s="71">
        <f>SCOPE_DETAIL!G52*PARAMETERS!$B$18*PARAMETERS!$B$21*(1+PARAMETERS!$B$22)/1000</f>
        <v>68.876133606092992</v>
      </c>
      <c r="C9" s="29" t="s">
        <v>298</v>
      </c>
    </row>
    <row r="10" spans="1:3" ht="15.75" customHeight="1" x14ac:dyDescent="0.25">
      <c r="A10" s="7" t="s">
        <v>303</v>
      </c>
      <c r="B10" s="71">
        <f>SCOPE_DETAIL!G59*PARAMETERS!$B$18*PARAMETERS!$B$21*(1+PARAMETERS!$B$22)/1000</f>
        <v>45.917422404061988</v>
      </c>
      <c r="C10" s="29" t="s">
        <v>298</v>
      </c>
    </row>
    <row r="11" spans="1:3" ht="15.75" customHeight="1" x14ac:dyDescent="0.25">
      <c r="A11" s="7" t="s">
        <v>304</v>
      </c>
      <c r="B11" s="71">
        <f>SCOPE_DETAIL!G66*PARAMETERS!$B$18*PARAMETERS!$B$21*(1+PARAMETERS!$B$22)/1000</f>
        <v>224.51886822665404</v>
      </c>
      <c r="C11" s="29" t="s">
        <v>305</v>
      </c>
    </row>
    <row r="12" spans="1:3" ht="15.75" customHeight="1" x14ac:dyDescent="0.25">
      <c r="A12" s="7" t="s">
        <v>306</v>
      </c>
      <c r="B12" s="71">
        <f>SCOPE_DETAIL!G82*PARAMETERS!$B$18*PARAMETERS!$B$21*(1+PARAMETERS!$B$22)/1000</f>
        <v>1312.2289638297441</v>
      </c>
      <c r="C12" s="29" t="s">
        <v>307</v>
      </c>
    </row>
    <row r="13" spans="1:3" ht="15.75" customHeight="1" x14ac:dyDescent="0.25">
      <c r="A13" s="7" t="s">
        <v>308</v>
      </c>
      <c r="B13" s="71">
        <f>SCOPE_DETAIL!G94*PARAMETERS!$B$18*PARAMETERS!$B$21*(1+PARAMETERS!$B$22)/1000</f>
        <v>960.5339969568962</v>
      </c>
      <c r="C13" s="29" t="s">
        <v>309</v>
      </c>
    </row>
    <row r="14" spans="1:3" ht="15.75" customHeight="1" x14ac:dyDescent="0.25">
      <c r="A14" s="7" t="s">
        <v>310</v>
      </c>
      <c r="B14" s="71">
        <f>SCOPE_DETAIL!G98*PARAMETERS!$B$18*PARAMETERS!$B$21*(1+PARAMETERS!$B$22)/1000</f>
        <v>72.12500783279549</v>
      </c>
      <c r="C14" s="29" t="s">
        <v>311</v>
      </c>
    </row>
    <row r="15" spans="1:3" ht="15.75" customHeight="1" x14ac:dyDescent="0.25">
      <c r="A15" s="9" t="s">
        <v>312</v>
      </c>
      <c r="B15" s="72">
        <f>SUM(B4:B14)</f>
        <v>3751.1263570730434</v>
      </c>
      <c r="C15" s="30" t="s">
        <v>313</v>
      </c>
    </row>
    <row r="16" spans="1:3" ht="15.75" customHeight="1" x14ac:dyDescent="0.25">
      <c r="A16" s="7" t="s">
        <v>314</v>
      </c>
      <c r="B16" s="73">
        <f>B15*PARAMETERS!$B$23</f>
        <v>375.11263570730438</v>
      </c>
      <c r="C16" s="29" t="s">
        <v>315</v>
      </c>
    </row>
    <row r="17" spans="1:3" ht="15.75" customHeight="1" x14ac:dyDescent="0.25">
      <c r="A17" s="7" t="s">
        <v>316</v>
      </c>
      <c r="B17" s="73">
        <f>PARAMETERS!$B$40/1000</f>
        <v>272.33300000000003</v>
      </c>
      <c r="C17" s="29" t="s">
        <v>317</v>
      </c>
    </row>
    <row r="18" spans="1:3" ht="15.75" customHeight="1" x14ac:dyDescent="0.25">
      <c r="A18" s="7" t="s">
        <v>318</v>
      </c>
      <c r="B18" s="73">
        <f>ESTIMATE!B15/1000</f>
        <v>263.91432000000003</v>
      </c>
      <c r="C18" s="29" t="s">
        <v>319</v>
      </c>
    </row>
    <row r="19" spans="1:3" ht="15.75" customHeight="1" x14ac:dyDescent="0.25">
      <c r="A19" s="7" t="s">
        <v>320</v>
      </c>
      <c r="B19" s="73">
        <f>ESTIMATE!B16/1000</f>
        <v>351.88576</v>
      </c>
      <c r="C19" s="29" t="s">
        <v>321</v>
      </c>
    </row>
    <row r="20" spans="1:3" ht="15.75" customHeight="1" x14ac:dyDescent="0.25">
      <c r="A20" s="7" t="s">
        <v>21</v>
      </c>
      <c r="B20" s="73">
        <f>ESTIMATE!B17/1000</f>
        <v>175.94288</v>
      </c>
      <c r="C20" s="29" t="s">
        <v>322</v>
      </c>
    </row>
    <row r="21" spans="1:3" ht="16.5" customHeight="1" x14ac:dyDescent="0.25">
      <c r="A21" s="9" t="s">
        <v>23</v>
      </c>
      <c r="B21" s="74">
        <f>ESTIMATE!B18/1000</f>
        <v>5190.3149999999996</v>
      </c>
      <c r="C21" s="30" t="s">
        <v>24</v>
      </c>
    </row>
    <row r="23" spans="1:3" ht="15.75" customHeight="1" x14ac:dyDescent="0.25">
      <c r="A23" s="2" t="s">
        <v>323</v>
      </c>
      <c r="B23" s="2"/>
      <c r="C23" s="2"/>
    </row>
    <row r="24" spans="1:3" ht="13.5" customHeight="1" x14ac:dyDescent="0.25">
      <c r="A24" s="76" t="s">
        <v>417</v>
      </c>
      <c r="B24" s="73">
        <f>B21</f>
        <v>5190.3149999999996</v>
      </c>
      <c r="C24" s="29" t="s">
        <v>324</v>
      </c>
    </row>
    <row r="25" spans="1:3" ht="13.5" customHeight="1" x14ac:dyDescent="0.25">
      <c r="A25" s="76" t="s">
        <v>416</v>
      </c>
      <c r="B25" s="73">
        <f>B21</f>
        <v>5190.3149999999996</v>
      </c>
      <c r="C25" s="29" t="s">
        <v>325</v>
      </c>
    </row>
    <row r="26" spans="1:3" ht="15.75" customHeight="1" x14ac:dyDescent="0.25">
      <c r="A26" s="7" t="s">
        <v>25</v>
      </c>
      <c r="B26" s="73">
        <f>ESTIMATE!B19/1000</f>
        <v>207.61260000000001</v>
      </c>
      <c r="C26" s="29" t="s">
        <v>326</v>
      </c>
    </row>
    <row r="27" spans="1:3" ht="16.5" customHeight="1" x14ac:dyDescent="0.25">
      <c r="A27" s="10" t="s">
        <v>27</v>
      </c>
      <c r="B27" s="75">
        <f>ESTIMATE!B20/1000</f>
        <v>5397.9276</v>
      </c>
      <c r="C27" s="31" t="s">
        <v>28</v>
      </c>
    </row>
    <row r="29" spans="1:3" ht="15.75" customHeight="1" x14ac:dyDescent="0.25">
      <c r="A29" s="2" t="s">
        <v>327</v>
      </c>
      <c r="B29" s="2"/>
      <c r="C29" s="2"/>
    </row>
    <row r="30" spans="1:3" ht="13.5" customHeight="1" x14ac:dyDescent="0.25">
      <c r="A30" s="76" t="s">
        <v>418</v>
      </c>
      <c r="B30" s="1" t="s">
        <v>328</v>
      </c>
      <c r="C30" s="1"/>
    </row>
    <row r="31" spans="1:3" ht="13.5" customHeight="1" x14ac:dyDescent="0.25">
      <c r="A31" s="76" t="s">
        <v>419</v>
      </c>
      <c r="B31" s="1" t="s">
        <v>329</v>
      </c>
      <c r="C31" s="1"/>
    </row>
    <row r="32" spans="1:3" ht="13.5" customHeight="1" x14ac:dyDescent="0.25">
      <c r="A32" s="76" t="s">
        <v>252</v>
      </c>
      <c r="B32" s="1" t="s">
        <v>330</v>
      </c>
      <c r="C32" s="1"/>
    </row>
    <row r="33" spans="1:3" ht="13.5" customHeight="1" x14ac:dyDescent="0.25">
      <c r="A33" s="76" t="s">
        <v>254</v>
      </c>
      <c r="B33" s="1" t="s">
        <v>331</v>
      </c>
      <c r="C33" s="1"/>
    </row>
    <row r="34" spans="1:3" ht="13.5" customHeight="1" x14ac:dyDescent="0.25">
      <c r="A34" s="76" t="s">
        <v>260</v>
      </c>
      <c r="B34" s="1" t="s">
        <v>332</v>
      </c>
      <c r="C34" s="1"/>
    </row>
    <row r="35" spans="1:3" ht="13.5" customHeight="1" x14ac:dyDescent="0.25">
      <c r="A35" s="76" t="s">
        <v>258</v>
      </c>
      <c r="B35" s="1" t="s">
        <v>333</v>
      </c>
      <c r="C35" s="1"/>
    </row>
    <row r="36" spans="1:3" ht="13.5" customHeight="1" x14ac:dyDescent="0.25">
      <c r="A36" s="76" t="s">
        <v>420</v>
      </c>
      <c r="B36" s="1" t="s">
        <v>334</v>
      </c>
      <c r="C36" s="1"/>
    </row>
    <row r="37" spans="1:3" ht="13.5" customHeight="1" x14ac:dyDescent="0.25">
      <c r="A37" s="76" t="s">
        <v>421</v>
      </c>
      <c r="B37" s="1" t="s">
        <v>335</v>
      </c>
      <c r="C37" s="1"/>
    </row>
    <row r="38" spans="1:3" ht="13.5" customHeight="1" x14ac:dyDescent="0.25">
      <c r="A38" s="76" t="s">
        <v>422</v>
      </c>
      <c r="B38" s="1" t="s">
        <v>336</v>
      </c>
      <c r="C38" s="1"/>
    </row>
  </sheetData>
  <mergeCells count="13">
    <mergeCell ref="B36:C36"/>
    <mergeCell ref="B37:C37"/>
    <mergeCell ref="B38:C38"/>
    <mergeCell ref="B31:C31"/>
    <mergeCell ref="B32:C32"/>
    <mergeCell ref="B33:C33"/>
    <mergeCell ref="B34:C34"/>
    <mergeCell ref="B35:C35"/>
    <mergeCell ref="A1:C1"/>
    <mergeCell ref="A2:C2"/>
    <mergeCell ref="A23:C23"/>
    <mergeCell ref="A29:C29"/>
    <mergeCell ref="B30:C30"/>
  </mergeCells>
  <pageMargins left="0.75" right="0.75" top="1" bottom="1" header="0.511811023622047" footer="0.511811023622047"/>
  <pageSetup paperSize="9" orientation="portrait" horizontalDpi="300" verticalDpi="300"/>
  <headerFooter>
    <oddFooter>&amp;L_x000D_&amp;1#&amp;"Calibri"&amp;10&amp;K000000 DISTRIBUTION: DoW COMMUNITY ONLY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4C915A3B47B546981F3394A9EEFC8B" ma:contentTypeVersion="17" ma:contentTypeDescription="Create a new document." ma:contentTypeScope="" ma:versionID="bc73bbfb93675bf74b291369b121ed89">
  <xsd:schema xmlns:xsd="http://www.w3.org/2001/XMLSchema" xmlns:xs="http://www.w3.org/2001/XMLSchema" xmlns:p="http://schemas.microsoft.com/office/2006/metadata/properties" xmlns:ns2="52e17147-a371-4dec-aee1-95e66561af2f" xmlns:ns3="4cb5e926-a038-4de2-a34a-8925b2fb417f" targetNamespace="http://schemas.microsoft.com/office/2006/metadata/properties" ma:root="true" ma:fieldsID="c507208a0f86dc64fbb1b596395227e4" ns2:_="" ns3:_="">
    <xsd:import namespace="52e17147-a371-4dec-aee1-95e66561af2f"/>
    <xsd:import namespace="4cb5e926-a038-4de2-a34a-8925b2fb417f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e17147-a371-4dec-aee1-95e66561af2f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1c7be36e-9551-4638-a550-39ad874449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b5e926-a038-4de2-a34a-8925b2fb417f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186da742-fafb-4cba-9224-1b1074ee1245}" ma:internalName="TaxCatchAll" ma:showField="CatchAllData" ma:web="4cb5e926-a038-4de2-a34a-8925b2fb41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e17147-a371-4dec-aee1-95e66561af2f">
      <Terms xmlns="http://schemas.microsoft.com/office/infopath/2007/PartnerControls"/>
    </lcf76f155ced4ddcb4097134ff3c332f>
    <TaxCatchAll xmlns="4cb5e926-a038-4de2-a34a-8925b2fb417f" xsi:nil="true"/>
  </documentManagement>
</p:properties>
</file>

<file path=customXml/itemProps1.xml><?xml version="1.0" encoding="utf-8"?>
<ds:datastoreItem xmlns:ds="http://schemas.openxmlformats.org/officeDocument/2006/customXml" ds:itemID="{13873B06-363D-43AE-8AA6-5095C008E5FA}"/>
</file>

<file path=customXml/itemProps2.xml><?xml version="1.0" encoding="utf-8"?>
<ds:datastoreItem xmlns:ds="http://schemas.openxmlformats.org/officeDocument/2006/customXml" ds:itemID="{A8DFE81F-74B2-4600-B565-D81F6890AFDF}"/>
</file>

<file path=customXml/itemProps3.xml><?xml version="1.0" encoding="utf-8"?>
<ds:datastoreItem xmlns:ds="http://schemas.openxmlformats.org/officeDocument/2006/customXml" ds:itemID="{930508A3-E1E1-489E-9024-DBC331820254}"/>
</file>

<file path=docMetadata/LabelInfo.xml><?xml version="1.0" encoding="utf-8"?>
<clbl:labelList xmlns:clbl="http://schemas.microsoft.com/office/2020/mipLabelMetadata">
  <clbl:label id="{89f80511-b267-4892-be9d-6cc8d3fffe7e}" enabled="1" method="Standard" siteId="{f4c44cda-18c6-46b0-80f2-e290072444f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ESTIMATE</vt:lpstr>
      <vt:lpstr>SCOPE_DETAIL</vt:lpstr>
      <vt:lpstr>PARAMETERS</vt:lpstr>
      <vt:lpstr>DD1391_BLOCK9</vt:lpstr>
    </vt:vector>
  </TitlesOfParts>
  <Manager>Hawkins CIV Bil G</Manager>
  <Company>MCIPAC GF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SCH-3213 Level 3 ROM CWE</dc:title>
  <dc:subject>SCH-3213 Level 3 ROM CWE</dc:subject>
  <dc:description/>
  <cp:lastModifiedBy>Potter CTR Anthony L</cp:lastModifiedBy>
  <cp:revision>0</cp:revision>
  <dcterms:created xsi:type="dcterms:W3CDTF">2026-03-19T22:01:24Z</dcterms:created>
  <dcterms:modified xsi:type="dcterms:W3CDTF">2026-03-20T00:36:18Z</dcterms:modified>
  <cp:category>MILCON, FSRM</cp:category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0x010100884C915A3B47B546981F3394A9EEFC8B</vt:lpwstr>
  </property>
</Properties>
</file>