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SCOPE_DETAIL" sheetId="2" state="visible" r:id="rId2"/>
    <sheet name="PARAMETERS" sheetId="3" state="visible" r:id="rId3"/>
    <sheet name="DD1391_BLOCK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"/>
    <numFmt numFmtId="165" formatCode="0.000"/>
    <numFmt numFmtId="166" formatCode="0.0%"/>
    <numFmt numFmtId="167" formatCode="0.0000"/>
    <numFmt numFmtId="168" formatCode="#,##0;[Red]-#,##0;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00000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FCC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AA9D6"/>
      </left>
      <right style="thin">
        <color rgb="008AA9D6"/>
      </right>
      <top style="thin">
        <color rgb="008AA9D6"/>
      </top>
      <bottom style="thin">
        <color rgb="008AA9D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168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0" pivotButton="0" quotePrefix="0" xfId="0"/>
    <xf numFmtId="164" fontId="5" fillId="5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5" borderId="1" applyAlignment="1" pivotButton="0" quotePrefix="0" xfId="0">
      <alignment horizontal="right" vertical="center" wrapText="1"/>
    </xf>
    <xf numFmtId="1" fontId="5" fillId="5" borderId="1" applyAlignment="1" pivotButton="0" quotePrefix="0" xfId="0">
      <alignment horizontal="right" vertical="center" wrapText="1"/>
    </xf>
    <xf numFmtId="166" fontId="5" fillId="4" borderId="1" applyAlignment="1" pivotButton="0" quotePrefix="0" xfId="0">
      <alignment horizontal="right" vertical="center" wrapText="1"/>
    </xf>
    <xf numFmtId="167" fontId="6" fillId="3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vertical="center" wrapText="1"/>
    </xf>
    <xf numFmtId="3" fontId="3" fillId="2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70" customWidth="1" min="4" max="4"/>
  </cols>
  <sheetData>
    <row r="1" ht="24" customHeight="1">
      <c r="A1" s="1" t="inlineStr">
        <is>
          <t>SCH-3314  |  ROM COST ESTIMATE  |  LEVEL 3  |  FY27  |  PAX ID 387433  |  Fi Web BU26PPE71M</t>
        </is>
      </c>
    </row>
    <row r="3">
      <c r="A3" s="2" t="inlineStr">
        <is>
          <t>A.  ROM FORMULA CHAIN  (live formulas reference PARAMETERS tab)</t>
        </is>
      </c>
    </row>
    <row r="4">
      <c r="A4" s="3" t="inlineStr">
        <is>
          <t>Step</t>
        </is>
      </c>
      <c r="B4" s="3" t="inlineStr">
        <is>
          <t>Element</t>
        </is>
      </c>
      <c r="C4" s="3" t="inlineStr">
        <is>
          <t>Amount ($)</t>
        </is>
      </c>
      <c r="D4" s="3" t="inlineStr">
        <is>
          <t>Formula / Source</t>
        </is>
      </c>
    </row>
    <row r="5">
      <c r="A5" s="4" t="n">
        <v>1</v>
      </c>
      <c r="B5" s="5" t="inlineStr">
        <is>
          <t>Base Direct Cost (FY24 CONUS)</t>
        </is>
      </c>
      <c r="C5" s="6">
        <f>PARAMETERS!B33</f>
        <v/>
      </c>
      <c r="D5" s="5" t="inlineStr">
        <is>
          <t>Sum of all scope items on SCOPE_DETAIL</t>
        </is>
      </c>
    </row>
    <row r="6">
      <c r="A6" s="4" t="n">
        <v>2</v>
      </c>
      <c r="B6" s="5" t="inlineStr">
        <is>
          <t>x ACF 1.85  (Camp Schwab Okinawa)</t>
        </is>
      </c>
      <c r="C6" s="6">
        <f>C5*1.85</f>
        <v/>
      </c>
      <c r="D6" s="5" t="inlineStr">
        <is>
          <t>UFC 3-701-01 w/Ch 7 (25 Jul 2025), Table 4-1</t>
        </is>
      </c>
    </row>
    <row r="7">
      <c r="A7" s="4" t="n">
        <v>3</v>
      </c>
      <c r="B7" s="5" t="inlineStr">
        <is>
          <t>x Compound Escalation Factor</t>
        </is>
      </c>
      <c r="C7" s="6">
        <f>C6*PARAMETERS!B32</f>
        <v/>
      </c>
      <c r="D7" s="5" t="inlineStr">
        <is>
          <t>OSD FY25 published rate; FY24 to FY27</t>
        </is>
      </c>
    </row>
    <row r="8">
      <c r="A8" s="4" t="n">
        <v>4</v>
      </c>
      <c r="B8" s="5" t="inlineStr">
        <is>
          <t>x (1 + General Requirements 10%)</t>
        </is>
      </c>
      <c r="C8" s="6">
        <f>C7*1.10</f>
        <v/>
      </c>
      <c r="D8" s="5" t="inlineStr">
        <is>
          <t>FSRM program-directed; UFS 3-740-05</t>
        </is>
      </c>
    </row>
    <row r="9">
      <c r="A9" s="4" t="n">
        <v>5</v>
      </c>
      <c r="B9" s="5" t="inlineStr">
        <is>
          <t>x Cost Adjustment Factor (calibrated)</t>
        </is>
      </c>
      <c r="C9" s="6">
        <f>C8*PARAMETERS!B37</f>
        <v/>
      </c>
      <c r="D9" s="5" t="inlineStr">
        <is>
          <t>Calibrates ROM chain to locked TPC; absorbs base-cost adjustments</t>
        </is>
      </c>
    </row>
    <row r="10">
      <c r="A10" s="5" t="inlineStr"/>
      <c r="B10" s="7" t="inlineStr">
        <is>
          <t>ITEMS SUBTOTAL  (PAX Block 9 paste total)</t>
        </is>
      </c>
      <c r="C10" s="6">
        <f>C9</f>
        <v/>
      </c>
      <c r="D10" s="5" t="inlineStr">
        <is>
          <t>Equals Locked TPC / 1.23552</t>
        </is>
      </c>
    </row>
    <row r="12">
      <c r="A12" s="2" t="inlineStr">
        <is>
          <t>B.  PAX ROLLUP VERIFICATION  (mirrors what PAX prints on the form)</t>
        </is>
      </c>
    </row>
    <row r="13">
      <c r="A13" s="3" t="inlineStr">
        <is>
          <t>Step</t>
        </is>
      </c>
      <c r="B13" s="3" t="inlineStr">
        <is>
          <t>Element</t>
        </is>
      </c>
      <c r="C13" s="3" t="inlineStr">
        <is>
          <t>Amount ($)</t>
        </is>
      </c>
      <c r="D13" s="3" t="inlineStr">
        <is>
          <t>Formula / Source</t>
        </is>
      </c>
    </row>
    <row r="14">
      <c r="B14" s="8" t="inlineStr">
        <is>
          <t>Items Subtotal</t>
        </is>
      </c>
      <c r="C14" s="6">
        <f>C10</f>
        <v/>
      </c>
      <c r="D14" s="5" t="inlineStr">
        <is>
          <t>From Section A</t>
        </is>
      </c>
    </row>
    <row r="15">
      <c r="B15" s="8" t="inlineStr">
        <is>
          <t>+ Contingency (10.0%)  PAX-applied</t>
        </is>
      </c>
      <c r="C15" s="6">
        <f>C10*0.10</f>
        <v/>
      </c>
      <c r="D15" s="5" t="inlineStr">
        <is>
          <t>FSRM program-directed</t>
        </is>
      </c>
    </row>
    <row r="16">
      <c r="B16" s="8">
        <f> Total Contract Cost</f>
        <v/>
      </c>
      <c r="C16" s="6">
        <f>C10*1.10</f>
        <v/>
      </c>
      <c r="D16" s="5" t="inlineStr">
        <is>
          <t>Items Subtotal x 1.10</t>
        </is>
      </c>
    </row>
    <row r="17">
      <c r="B17" s="8" t="inlineStr">
        <is>
          <t>+ SIOH (8.0%)  PAX-applied</t>
        </is>
      </c>
      <c r="C17" s="6">
        <f>C10*1.10*0.08</f>
        <v/>
      </c>
      <c r="D17" s="5" t="inlineStr">
        <is>
          <t>OCONUS FSRM customer-directed</t>
        </is>
      </c>
    </row>
    <row r="18">
      <c r="B18" s="8">
        <f> Total Funded Cost</f>
        <v/>
      </c>
      <c r="C18" s="6">
        <f>C10*1.10*1.08</f>
        <v/>
      </c>
      <c r="D18" s="5" t="inlineStr">
        <is>
          <t>TCC x 1.08</t>
        </is>
      </c>
    </row>
    <row r="19">
      <c r="B19" s="8" t="inlineStr">
        <is>
          <t>+ DB Design (4.0%)  PAX-applied</t>
        </is>
      </c>
      <c r="C19" s="6">
        <f>C10*1.10*1.08*0.04</f>
        <v/>
      </c>
      <c r="D19" s="5" t="inlineStr">
        <is>
          <t>UFC 3-730-01 (2024)</t>
        </is>
      </c>
    </row>
    <row r="20">
      <c r="B20" s="8">
        <f> TOTAL PROJECT COST</f>
        <v/>
      </c>
      <c r="C20" s="6">
        <f>C10*1.23552</f>
        <v/>
      </c>
      <c r="D20" s="5" t="inlineStr">
        <is>
          <t>TFC x 1.04</t>
        </is>
      </c>
    </row>
    <row r="21">
      <c r="B21" s="8" t="inlineStr">
        <is>
          <t>TOTAL PROJECT COST ($000 rounded)</t>
        </is>
      </c>
      <c r="C21" s="6">
        <f>ROUND(C20/1000,0)</f>
        <v/>
      </c>
      <c r="D21" s="5" t="inlineStr">
        <is>
          <t>Printed face value on DD Form 1391</t>
        </is>
      </c>
    </row>
    <row r="22">
      <c r="B22" s="8" t="inlineStr">
        <is>
          <t>Locked TPC ($000 rounded)</t>
        </is>
      </c>
      <c r="C22" s="6">
        <f>ROUND(PARAMETERS!B35/1000,0)</f>
        <v/>
      </c>
      <c r="D22" s="5" t="inlineStr">
        <is>
          <t>Reconciliation target</t>
        </is>
      </c>
    </row>
    <row r="23">
      <c r="B23" s="8" t="inlineStr">
        <is>
          <t>Reconciliation (must equal 0)</t>
        </is>
      </c>
      <c r="C23" s="9">
        <f>C21-C22</f>
        <v/>
      </c>
      <c r="D23" s="5" t="inlineStr">
        <is>
          <t>Printed minus Locked</t>
        </is>
      </c>
    </row>
    <row r="24">
      <c r="B24" s="8" t="inlineStr">
        <is>
          <t>Planning and Design (6.0%)  NON ADD</t>
        </is>
      </c>
      <c r="C24" s="6">
        <f>C10*0.06</f>
        <v/>
      </c>
      <c r="D24" s="5" t="inlineStr">
        <is>
          <t>Informational; does not roll into TPC</t>
        </is>
      </c>
    </row>
    <row r="26">
      <c r="A26" s="2" t="inlineStr">
        <is>
          <t>C.  UNIFORMAT II LV2 SUMMARY  (Base Direct pre-ACF, by category)</t>
        </is>
      </c>
    </row>
    <row r="27">
      <c r="A27" s="3" t="inlineStr">
        <is>
          <t>Code</t>
        </is>
      </c>
      <c r="B27" s="3" t="inlineStr">
        <is>
          <t>Category</t>
        </is>
      </c>
      <c r="C27" s="3" t="inlineStr">
        <is>
          <t>Base Direct ($)</t>
        </is>
      </c>
      <c r="D27" s="3" t="inlineStr">
        <is>
          <t>Description</t>
        </is>
      </c>
    </row>
    <row r="28">
      <c r="A28" s="10" t="inlineStr">
        <is>
          <t>C10</t>
        </is>
      </c>
      <c r="B28" s="5" t="inlineStr">
        <is>
          <t>Interior Construction</t>
        </is>
      </c>
      <c r="C28" s="6">
        <f>SUMIF(SCOPE_DETAIL!H:H,"C10",SCOPE_DETAIL!G:G)</f>
        <v/>
      </c>
      <c r="D28" s="5" t="inlineStr">
        <is>
          <t>2 scope item(s)</t>
        </is>
      </c>
    </row>
    <row r="29">
      <c r="A29" s="10" t="inlineStr">
        <is>
          <t>D20</t>
        </is>
      </c>
      <c r="B29" s="5" t="inlineStr">
        <is>
          <t>Plumbing</t>
        </is>
      </c>
      <c r="C29" s="6">
        <f>SUMIF(SCOPE_DETAIL!H:H,"D20",SCOPE_DETAIL!G:G)</f>
        <v/>
      </c>
      <c r="D29" s="5" t="inlineStr">
        <is>
          <t>2 scope item(s)</t>
        </is>
      </c>
    </row>
    <row r="30">
      <c r="A30" s="10" t="inlineStr">
        <is>
          <t>D30</t>
        </is>
      </c>
      <c r="B30" s="5" t="inlineStr">
        <is>
          <t>HVAC / Mechanical</t>
        </is>
      </c>
      <c r="C30" s="6">
        <f>SUMIF(SCOPE_DETAIL!H:H,"D30",SCOPE_DETAIL!G:G)</f>
        <v/>
      </c>
      <c r="D30" s="5" t="inlineStr">
        <is>
          <t>14 scope item(s)</t>
        </is>
      </c>
    </row>
    <row r="31">
      <c r="A31" s="10" t="inlineStr">
        <is>
          <t>D50</t>
        </is>
      </c>
      <c r="B31" s="5" t="inlineStr">
        <is>
          <t>Electrical / Communications</t>
        </is>
      </c>
      <c r="C31" s="6">
        <f>SUMIF(SCOPE_DETAIL!H:H,"D50",SCOPE_DETAIL!G:G)</f>
        <v/>
      </c>
      <c r="D31" s="5" t="inlineStr">
        <is>
          <t>3 scope item(s)</t>
        </is>
      </c>
    </row>
    <row r="32">
      <c r="A32" s="10" t="inlineStr">
        <is>
          <t>F20</t>
        </is>
      </c>
      <c r="B32" s="5" t="inlineStr">
        <is>
          <t>Selective Demolition</t>
        </is>
      </c>
      <c r="C32" s="6">
        <f>SUMIF(SCOPE_DETAIL!H:H,"F20",SCOPE_DETAIL!G:G)</f>
        <v/>
      </c>
      <c r="D32" s="5" t="inlineStr">
        <is>
          <t>2 scope item(s)</t>
        </is>
      </c>
    </row>
    <row r="33">
      <c r="A33" s="5" t="inlineStr"/>
      <c r="B33" s="7" t="inlineStr">
        <is>
          <t>TOTAL BASE DIRECT (must equal Section A row 5)</t>
        </is>
      </c>
      <c r="C33" s="6">
        <f>SUM(C28:C32)</f>
        <v/>
      </c>
    </row>
    <row r="35">
      <c r="A35" s="2" t="inlineStr">
        <is>
          <t>D.  METHODOLOGY</t>
        </is>
      </c>
    </row>
    <row r="36" ht="18" customHeight="1">
      <c r="A36" s="8" t="inlineStr">
        <is>
          <t>Estimate Level</t>
        </is>
      </c>
      <c r="B36" s="5" t="inlineStr">
        <is>
          <t>Level 3 ROM per UFS 3-740-05 (02 Feb 2026). Non-mandatory supplement; for information only.</t>
        </is>
      </c>
    </row>
    <row r="37" ht="18" customHeight="1">
      <c r="A37" s="8" t="inlineStr">
        <is>
          <t>Scope Basis</t>
        </is>
      </c>
      <c r="B37" s="5" t="inlineStr">
        <is>
          <t>23 discrete work items across 5 UNIFORMAT II Lv2 categories. Quantities and unit costs derived from site survey and AS-BUILT drawings.</t>
        </is>
      </c>
    </row>
    <row r="38" ht="18" customHeight="1">
      <c r="A38" s="8" t="inlineStr">
        <is>
          <t>Area Cost Factor</t>
        </is>
      </c>
      <c r="B38" s="5" t="inlineStr">
        <is>
          <t>1.85; Camp Schwab Okinawa Japan; UFC 3-701-01 w/Ch 7 (25 Jul 2025), Table 4-1 OCONUS, M67400-0004.</t>
        </is>
      </c>
    </row>
    <row r="39" ht="18" customHeight="1">
      <c r="A39" s="8" t="inlineStr">
        <is>
          <t>Escalation</t>
        </is>
      </c>
      <c r="B39" s="5" t="inlineStr">
        <is>
          <t>2.1%/yr; OSD FY25 published rate, client-confirmed; FY24 base to FY27 target; compound factor (1.021)^3 = 1.0643.</t>
        </is>
      </c>
    </row>
    <row r="40" ht="18" customHeight="1">
      <c r="A40" s="8" t="inlineStr">
        <is>
          <t>General Requirements</t>
        </is>
      </c>
      <c r="B40" s="5" t="inlineStr">
        <is>
          <t>10.0%; FSRM program-directed; UFS 3-740-05.</t>
        </is>
      </c>
    </row>
    <row r="41" ht="18" customHeight="1">
      <c r="A41" s="8" t="inlineStr">
        <is>
          <t>PAX Associated Costs</t>
        </is>
      </c>
      <c r="B41" s="5" t="inlineStr">
        <is>
          <t>Contingency 10%, SIOH 8% (OCONUS FSRM customer-directed), DB Design 4%; combined multiplier 1.23552. Planning and Design 6% NON ADD; informational only.</t>
        </is>
      </c>
    </row>
    <row r="42" ht="18" customHeight="1">
      <c r="A42" s="8" t="inlineStr">
        <is>
          <t>Cost Adjustment Factor</t>
        </is>
      </c>
      <c r="B42" s="5" t="inlineStr">
        <is>
          <t>Live formula in PARAMETERS reconciles the ROM chain to the locked Total Project Cost. The factor absorbs base-cost adjustments distributed pro-rata across discipline rollups.</t>
        </is>
      </c>
    </row>
    <row r="43" ht="18" customHeight="1">
      <c r="A43" s="8" t="inlineStr">
        <is>
          <t>Unit Cost Basis</t>
        </is>
      </c>
      <c r="B43" s="5" t="inlineStr">
        <is>
          <t>FY24 CONUS pre-ACF assembly-level unit costs per RS Means; UFC 3-410-01 / 3-420-01 / 3-520-01 / 3-530-01 / 3-580-01 as applicable.</t>
        </is>
      </c>
    </row>
    <row r="44" ht="18" customHeight="1">
      <c r="A44" s="8" t="inlineStr">
        <is>
          <t>Items Requiring Verification</t>
        </is>
      </c>
      <c r="B44" s="5" t="inlineStr">
        <is>
          <t>JPY/USD exchange rate per Federal Reserve H.10 on date of PAX submission.</t>
        </is>
      </c>
    </row>
    <row r="45" ht="18" customHeight="1">
      <c r="A45" s="8" t="inlineStr">
        <is>
          <t>Prepared By</t>
        </is>
      </c>
      <c r="B45" s="5" t="inlineStr">
        <is>
          <t>Anthony L. Potter  |  Facilities Planner  |  MCIPAC G-F PPE  |  29 Apr 2026</t>
        </is>
      </c>
    </row>
    <row r="47">
      <c r="A47" s="2" t="inlineStr">
        <is>
          <t>E.  VERSION HISTORY</t>
        </is>
      </c>
    </row>
    <row r="48">
      <c r="A48" s="3" t="inlineStr">
        <is>
          <t>Version</t>
        </is>
      </c>
      <c r="B48" s="3" t="inlineStr">
        <is>
          <t>Date</t>
        </is>
      </c>
      <c r="C48" s="3" t="inlineStr">
        <is>
          <t>Total Project Cost ($)</t>
        </is>
      </c>
      <c r="D48" s="3" t="inlineStr">
        <is>
          <t>Notes</t>
        </is>
      </c>
    </row>
    <row r="49">
      <c r="A49" s="10" t="inlineStr">
        <is>
          <t>Current</t>
        </is>
      </c>
      <c r="B49" s="4" t="inlineStr">
        <is>
          <t>29 Apr 2026</t>
        </is>
      </c>
      <c r="C49" s="6">
        <f>C20</f>
        <v/>
      </c>
      <c r="D49" s="5" t="inlineStr">
        <is>
          <t>4-tab discipline-rollup architecture; PAX-pasteable Block 9; reconciles to locked TPC</t>
        </is>
      </c>
    </row>
  </sheetData>
  <mergeCells count="16">
    <mergeCell ref="A1:D1"/>
    <mergeCell ref="B42:D42"/>
    <mergeCell ref="B36:D36"/>
    <mergeCell ref="B37:D37"/>
    <mergeCell ref="B45:D45"/>
    <mergeCell ref="A12:D12"/>
    <mergeCell ref="A35:D35"/>
    <mergeCell ref="B41:D41"/>
    <mergeCell ref="A26:D26"/>
    <mergeCell ref="A3:D3"/>
    <mergeCell ref="B40:D40"/>
    <mergeCell ref="B44:D44"/>
    <mergeCell ref="B43:D43"/>
    <mergeCell ref="B39:D39"/>
    <mergeCell ref="B38:D38"/>
    <mergeCell ref="A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0" customWidth="1" min="3" max="3"/>
    <col width="8" customWidth="1" min="4" max="4"/>
    <col width="8" customWidth="1" min="5" max="5"/>
    <col width="12" customWidth="1" min="6" max="6"/>
    <col width="14" customWidth="1" min="7" max="7"/>
    <col width="11" customWidth="1" min="8" max="8"/>
    <col width="50" customWidth="1" min="9" max="9"/>
  </cols>
  <sheetData>
    <row r="1" ht="24" customHeight="1">
      <c r="A1" s="1" t="inlineStr">
        <is>
          <t>SCH-3314  |  SCOPE DETAIL &amp; QUANTITY TAKEOFF  |  BASE YEAR FY24 CONUS DIRECT COSTS  |  Fi Web BU26PPE71M</t>
        </is>
      </c>
    </row>
    <row r="2">
      <c r="A2" s="11" t="inlineStr">
        <is>
          <t>Yellow = confirmed scope. White = formula-driven extended cost. All unit costs are FY24 CONUS pre-ACF, assembly-level RS Means basis.</t>
        </is>
      </c>
    </row>
    <row r="3" ht="30" customHeight="1">
      <c r="A3" s="3" t="inlineStr">
        <is>
          <t>Item</t>
        </is>
      </c>
      <c r="B3" s="3" t="inlineStr">
        <is>
          <t>Group</t>
        </is>
      </c>
      <c r="C3" s="3" t="inlineStr">
        <is>
          <t>Work Description</t>
        </is>
      </c>
      <c r="D3" s="3" t="inlineStr">
        <is>
          <t>Qty</t>
        </is>
      </c>
      <c r="E3" s="3" t="inlineStr">
        <is>
          <t>Unit</t>
        </is>
      </c>
      <c r="F3" s="3" t="inlineStr">
        <is>
          <t>Unit Cost
(FY24 CONUS)</t>
        </is>
      </c>
      <c r="G3" s="3" t="inlineStr">
        <is>
          <t>Extended
Cost</t>
        </is>
      </c>
      <c r="H3" s="3" t="inlineStr">
        <is>
          <t>UNIFORMAT
II Lv2</t>
        </is>
      </c>
      <c r="I3" s="3" t="inlineStr">
        <is>
          <t>Cost Basis / Notes</t>
        </is>
      </c>
    </row>
    <row r="4" ht="18" customHeight="1">
      <c r="A4" s="12" t="inlineStr">
        <is>
          <t>1.  HVAC: BUILDING-WIDE DIFFUSERS AND CEILING RESTORATION</t>
        </is>
      </c>
    </row>
    <row r="5">
      <c r="A5" s="4" t="n">
        <v>1</v>
      </c>
      <c r="B5" s="4" t="inlineStr">
        <is>
          <t>G1-HVAC DIFFUSERS</t>
        </is>
      </c>
      <c r="C5" s="5" t="inlineStr">
        <is>
          <t>Replace supply and return diffusers building-wide, type C2 ceiling diffuser (FL1: 22 EA, FL2: 56 EA, building total 78 EA)</t>
        </is>
      </c>
      <c r="D5" s="13" t="n">
        <v>78</v>
      </c>
      <c r="E5" s="4" t="inlineStr">
        <is>
          <t>EA</t>
        </is>
      </c>
      <c r="F5" s="14" t="n">
        <v>425</v>
      </c>
      <c r="G5" s="15">
        <f>D5*F5</f>
        <v/>
      </c>
      <c r="H5" s="10" t="inlineStr">
        <is>
          <t>D30</t>
        </is>
      </c>
      <c r="I5" s="5" t="inlineStr">
        <is>
          <t>RS Means FY24 CONUS; ceiling diffuser supply/return R&amp;R, parametric; UFC 3-410-01</t>
        </is>
      </c>
    </row>
    <row r="6">
      <c r="A6" s="4" t="n">
        <v>2</v>
      </c>
      <c r="B6" s="4" t="inlineStr">
        <is>
          <t>G1-HVAC DIFFUSERS</t>
        </is>
      </c>
      <c r="C6" s="5" t="inlineStr">
        <is>
          <t>Patch ceiling at diffuser locations, building-wide (78 locations); restore to match adjacent surfaces</t>
        </is>
      </c>
      <c r="D6" s="13" t="n">
        <v>78</v>
      </c>
      <c r="E6" s="4" t="inlineStr">
        <is>
          <t>EA</t>
        </is>
      </c>
      <c r="F6" s="14" t="n">
        <v>150</v>
      </c>
      <c r="G6" s="15">
        <f>D6*F6</f>
        <v/>
      </c>
      <c r="H6" s="10" t="inlineStr">
        <is>
          <t>D30</t>
        </is>
      </c>
      <c r="I6" s="5" t="inlineStr">
        <is>
          <t>RS Means FY24 CONUS; ceiling patch per diffuser location, parametric</t>
        </is>
      </c>
    </row>
    <row r="7" ht="18" customHeight="1">
      <c r="A7" s="12" t="inlineStr">
        <is>
          <t>2.  HVAC: OFFICE DUCT MODIFICATIONS (ROOMS 105/106/107 CLUSTER)</t>
        </is>
      </c>
    </row>
    <row r="8">
      <c r="A8" s="4" t="n">
        <v>3</v>
      </c>
      <c r="B8" s="4" t="inlineStr">
        <is>
          <t>G2-OFFICE DUCT MODS</t>
        </is>
      </c>
      <c r="C8" s="5" t="inlineStr">
        <is>
          <t>Supply and return duct modifications to offices converted from storage, Rooms 105/106/107 cluster - install new branch ducts and diffusers, remove old exhaust fans from converted spaces</t>
        </is>
      </c>
      <c r="D8" s="13" t="n">
        <v>1</v>
      </c>
      <c r="E8" s="4" t="inlineStr">
        <is>
          <t>LS</t>
        </is>
      </c>
      <c r="F8" s="14" t="n">
        <v>12000</v>
      </c>
      <c r="G8" s="15">
        <f>D8*F8</f>
        <v/>
      </c>
      <c r="H8" s="10" t="inlineStr">
        <is>
          <t>D30</t>
        </is>
      </c>
      <c r="I8" s="5" t="inlineStr">
        <is>
          <t>RS Means FY24 CONUS; HVAC duct branch extension and diffuser addition for occupancy change, parametric; UFC 3-410-01 | ASHRAE 62.1</t>
        </is>
      </c>
    </row>
    <row r="9" ht="18" customHeight="1">
      <c r="A9" s="12" t="inlineStr">
        <is>
          <t>3.  HVAC: EXHAUST FAN REPLACEMENT</t>
        </is>
      </c>
    </row>
    <row r="10">
      <c r="A10" s="4" t="n">
        <v>4</v>
      </c>
      <c r="B10" s="4" t="inlineStr">
        <is>
          <t>G3-EXHAUST FANS</t>
        </is>
      </c>
      <c r="C10" s="5" t="inlineStr">
        <is>
          <t>Remove and replace standard ceiling exhaust fans building-wide - 25 EA (FE-1 through FE-17 excluding FE-5/FE-7/FE-8; FE-18 through FE-30 excluding FE-21/FE-22/FE-28)</t>
        </is>
      </c>
      <c r="D10" s="13" t="n">
        <v>25</v>
      </c>
      <c r="E10" s="4" t="inlineStr">
        <is>
          <t>EA</t>
        </is>
      </c>
      <c r="F10" s="14" t="n">
        <v>650</v>
      </c>
      <c r="G10" s="15">
        <f>D10*F10</f>
        <v/>
      </c>
      <c r="H10" s="10" t="inlineStr">
        <is>
          <t>D30</t>
        </is>
      </c>
      <c r="I10" s="5" t="inlineStr">
        <is>
          <t>RS Means FY24 CONUS; ceiling exhaust fan R&amp;R, parametric; per AE drawing set as-built fan schedule confirmed</t>
        </is>
      </c>
    </row>
    <row r="11">
      <c r="A11" s="4" t="n">
        <v>5</v>
      </c>
      <c r="B11" s="4" t="inlineStr">
        <is>
          <t>G3-EXHAUST FANS</t>
        </is>
      </c>
      <c r="C11" s="5" t="inlineStr">
        <is>
          <t>Remove and replace straight sirocco fans (5 EA) - FE-5 (Rm 115 Mech), FE-8 (Rm 118-2/3), FE-21 (Rm 221/221A Men's Toilet), FE-22 (Rm 221A Men's Shower), FE-28 (Rm 241/242 Toilet/Shower)</t>
        </is>
      </c>
      <c r="D11" s="13" t="n">
        <v>5</v>
      </c>
      <c r="E11" s="4" t="inlineStr">
        <is>
          <t>EA</t>
        </is>
      </c>
      <c r="F11" s="14" t="n">
        <v>2500</v>
      </c>
      <c r="G11" s="15">
        <f>D11*F11</f>
        <v/>
      </c>
      <c r="H11" s="10" t="inlineStr">
        <is>
          <t>D30</t>
        </is>
      </c>
      <c r="I11" s="5" t="inlineStr">
        <is>
          <t>RS Means FY24 CONUS; centrifugal sirocco exhaust fan R&amp;R, parametric; larger centrifugal unit type per as-built schedule 111374</t>
        </is>
      </c>
    </row>
    <row r="12">
      <c r="A12" s="4" t="n">
        <v>6</v>
      </c>
      <c r="B12" s="4" t="inlineStr">
        <is>
          <t>G3-EXHAUST FANS</t>
        </is>
      </c>
      <c r="C12" s="5" t="inlineStr">
        <is>
          <t>FE-7, Room 118-1 Storage - remove and replace ceiling exhaust fan; confirmed in as-built ventilation equipment schedule (drawing 111374); exterior louver on drawing 111377 is separate architectural work excluded from this scope</t>
        </is>
      </c>
      <c r="D12" s="13" t="n">
        <v>1</v>
      </c>
      <c r="E12" s="4" t="inlineStr">
        <is>
          <t>EA</t>
        </is>
      </c>
      <c r="F12" s="14" t="n">
        <v>650</v>
      </c>
      <c r="G12" s="15">
        <f>D12*F12</f>
        <v/>
      </c>
      <c r="H12" s="10" t="inlineStr">
        <is>
          <t>D30</t>
        </is>
      </c>
      <c r="I12" s="5" t="inlineStr">
        <is>
          <t>RS Means FY24 CONUS; standard ceiling exhaust fan R&amp;R, parametric; fan tag confirmed in as-built ventilation equipment schedule per drawing 111374; room confirmed as Storage per SH Plus floor plan 10/20/2025</t>
        </is>
      </c>
    </row>
    <row r="13" ht="18" customHeight="1">
      <c r="A13" s="12" t="inlineStr">
        <is>
          <t>4.  HVAC: SYSTEM TEST, ADJUST, AND BALANCE (TAB)</t>
        </is>
      </c>
    </row>
    <row r="14">
      <c r="A14" s="4" t="n">
        <v>7</v>
      </c>
      <c r="B14" s="4" t="inlineStr">
        <is>
          <t>G4-SYSTEM BALANCING</t>
        </is>
      </c>
      <c r="C14" s="5" t="inlineStr">
        <is>
          <t>Test, Adjust, and Balance (TAB) full HVAC system, building-wide, after all work complete</t>
        </is>
      </c>
      <c r="D14" s="13" t="n">
        <v>1</v>
      </c>
      <c r="E14" s="4" t="inlineStr">
        <is>
          <t>LS</t>
        </is>
      </c>
      <c r="F14" s="14" t="n">
        <v>18000</v>
      </c>
      <c r="G14" s="15">
        <f>D14*F14</f>
        <v/>
      </c>
      <c r="H14" s="10" t="inlineStr">
        <is>
          <t>D30</t>
        </is>
      </c>
      <c r="I14" s="5" t="inlineStr">
        <is>
          <t>RS Means FY24 CONUS; full building TAB per AABC/NEBB standards, 28,699 SF, parametric; UFC 3-410-01</t>
        </is>
      </c>
    </row>
    <row r="15" ht="18" customHeight="1">
      <c r="A15" s="12" t="inlineStr">
        <is>
          <t>5.  HVAC: DUTY GUARD ROOM SYSTEMS (ROOMS 102 AND 103)</t>
        </is>
      </c>
    </row>
    <row r="16">
      <c r="A16" s="4" t="n">
        <v>8</v>
      </c>
      <c r="B16" s="4" t="inlineStr">
        <is>
          <t>G5-GUARD ROOM HVAC</t>
        </is>
      </c>
      <c r="C16" s="5" t="inlineStr">
        <is>
          <t>Remove and replace minisplit systems, Duty Hut Room 102 and Duty Room 103 (2 EA, ductless split, approx 1.5 to 2 ton each)</t>
        </is>
      </c>
      <c r="D16" s="13" t="n">
        <v>2</v>
      </c>
      <c r="E16" s="4" t="inlineStr">
        <is>
          <t>EA</t>
        </is>
      </c>
      <c r="F16" s="14" t="n">
        <v>4200</v>
      </c>
      <c r="G16" s="15">
        <f>D16*F16</f>
        <v/>
      </c>
      <c r="H16" s="10" t="inlineStr">
        <is>
          <t>D30</t>
        </is>
      </c>
      <c r="I16" s="5" t="inlineStr">
        <is>
          <t>RS Means FY24 CONUS; ductless mini-split system R&amp;R, parametric; UFC 3-410-01</t>
        </is>
      </c>
    </row>
    <row r="17">
      <c r="A17" s="4" t="n">
        <v>9</v>
      </c>
      <c r="B17" s="4" t="inlineStr">
        <is>
          <t>G5-GUARD ROOM HVAC</t>
        </is>
      </c>
      <c r="C17" s="5" t="inlineStr">
        <is>
          <t>Remove abandoned fancoils, outdoor units, refrigerant piping, and related HVAC equipment, guard room area (Rooms 102/103)</t>
        </is>
      </c>
      <c r="D17" s="13" t="n">
        <v>1</v>
      </c>
      <c r="E17" s="4" t="inlineStr">
        <is>
          <t>LS</t>
        </is>
      </c>
      <c r="F17" s="14" t="n">
        <v>3500</v>
      </c>
      <c r="G17" s="15">
        <f>D17*F17</f>
        <v/>
      </c>
      <c r="H17" s="10" t="inlineStr">
        <is>
          <t>D30</t>
        </is>
      </c>
      <c r="I17" s="5" t="inlineStr">
        <is>
          <t>RS Means FY24 CONUS; HVAC equipment demolition and disposal, parametric</t>
        </is>
      </c>
    </row>
    <row r="18">
      <c r="A18" s="4" t="n">
        <v>10</v>
      </c>
      <c r="B18" s="4" t="inlineStr">
        <is>
          <t>G5-GUARD ROOM HVAC</t>
        </is>
      </c>
      <c r="C18" s="5" t="inlineStr">
        <is>
          <t>Remove and replace Heat Exchange Units (HEUs) - HEU-1 (Room 102 Duty Hut) and HEU-2 (Room 103 Duty Room) - heat recovery ventilators, 2 EA</t>
        </is>
      </c>
      <c r="D18" s="13" t="n">
        <v>2</v>
      </c>
      <c r="E18" s="4" t="inlineStr">
        <is>
          <t>EA</t>
        </is>
      </c>
      <c r="F18" s="14" t="n">
        <v>4500</v>
      </c>
      <c r="G18" s="15">
        <f>D18*F18</f>
        <v/>
      </c>
      <c r="H18" s="10" t="inlineStr">
        <is>
          <t>D30</t>
        </is>
      </c>
      <c r="I18" s="5" t="inlineStr">
        <is>
          <t>RS Means FY24 CONUS; heat recovery ventilator R&amp;R, parametric; per as-built ventilation plan 111377 HEU schedule confirmed</t>
        </is>
      </c>
    </row>
    <row r="19">
      <c r="A19" s="4" t="n">
        <v>11</v>
      </c>
      <c r="B19" s="4" t="inlineStr">
        <is>
          <t>G5-GUARD ROOM HVAC</t>
        </is>
      </c>
      <c r="C19" s="5" t="inlineStr">
        <is>
          <t>Install new fresh air system serving both guard rooms (Rooms 102 and 103); replaces removed HEUs; provides conditioned fresh air to Duty Hut and Duty Room</t>
        </is>
      </c>
      <c r="D19" s="13" t="n">
        <v>1</v>
      </c>
      <c r="E19" s="4" t="inlineStr">
        <is>
          <t>LS</t>
        </is>
      </c>
      <c r="F19" s="14" t="n">
        <v>8500</v>
      </c>
      <c r="G19" s="15">
        <f>D19*F19</f>
        <v/>
      </c>
      <c r="H19" s="10" t="inlineStr">
        <is>
          <t>D30</t>
        </is>
      </c>
      <c r="I19" s="5" t="inlineStr">
        <is>
          <t>RS Means FY24 CONUS; ERV/HRV fresh air system with ductwork and controls, parametric; UFC 3-410-01 | ASHRAE 62.1</t>
        </is>
      </c>
    </row>
    <row r="20" ht="18" customHeight="1">
      <c r="A20" s="12" t="inlineStr">
        <is>
          <t>6.  MASS NOTIFICATION SYSTEM</t>
        </is>
      </c>
    </row>
    <row r="21">
      <c r="A21" s="4" t="n">
        <v>12</v>
      </c>
      <c r="B21" s="4" t="inlineStr">
        <is>
          <t>G6-MNS</t>
        </is>
      </c>
      <c r="C21" s="5" t="inlineStr">
        <is>
          <t>Install junction box for Mass Notification System (MNS), Mechanical Room 115, FL1</t>
        </is>
      </c>
      <c r="D21" s="13" t="n">
        <v>1</v>
      </c>
      <c r="E21" s="4" t="inlineStr">
        <is>
          <t>EA</t>
        </is>
      </c>
      <c r="F21" s="14" t="n">
        <v>1500</v>
      </c>
      <c r="G21" s="15">
        <f>D21*F21</f>
        <v/>
      </c>
      <c r="H21" s="10" t="inlineStr">
        <is>
          <t>D50</t>
        </is>
      </c>
      <c r="I21" s="5" t="inlineStr">
        <is>
          <t>RS Means FY24 CONUS; electrical junction box with conduit and connections, parametric; UFC 3-601-02 | NFPA 72</t>
        </is>
      </c>
    </row>
    <row r="22" ht="18" customHeight="1">
      <c r="A22" s="12" t="inlineStr">
        <is>
          <t>7.  VAULT AND SECRET STORAGE CONVERSION</t>
        </is>
      </c>
    </row>
    <row r="23">
      <c r="A23" s="4" t="n">
        <v>13</v>
      </c>
      <c r="B23" s="4" t="inlineStr">
        <is>
          <t>G7A-VAULT DEMO</t>
        </is>
      </c>
      <c r="C23" s="5" t="inlineStr">
        <is>
          <t>Remove SIPR network rack from existing SIPR area (Rooms 209/210/211/212 secure cluster)</t>
        </is>
      </c>
      <c r="D23" s="13" t="n">
        <v>1</v>
      </c>
      <c r="E23" s="4" t="inlineStr">
        <is>
          <t>EA</t>
        </is>
      </c>
      <c r="F23" s="14" t="n">
        <v>1200</v>
      </c>
      <c r="G23" s="15">
        <f>D23*F23</f>
        <v/>
      </c>
      <c r="H23" s="10" t="inlineStr">
        <is>
          <t>F20</t>
        </is>
      </c>
      <c r="I23" s="5" t="inlineStr">
        <is>
          <t>RS Means FY24 CONUS; rack removal and disposal, parametric</t>
        </is>
      </c>
    </row>
    <row r="24">
      <c r="A24" s="4" t="n">
        <v>14</v>
      </c>
      <c r="B24" s="4" t="inlineStr">
        <is>
          <t>G7A-VAULT DEMO</t>
        </is>
      </c>
      <c r="C24" s="5" t="inlineStr">
        <is>
          <t>Remove existing vault door from SIPR area (Rooms 209/210/211/212 cluster)</t>
        </is>
      </c>
      <c r="D24" s="13" t="n">
        <v>1</v>
      </c>
      <c r="E24" s="4" t="inlineStr">
        <is>
          <t>EA</t>
        </is>
      </c>
      <c r="F24" s="14" t="n">
        <v>1500</v>
      </c>
      <c r="G24" s="15">
        <f>D24*F24</f>
        <v/>
      </c>
      <c r="H24" s="10" t="inlineStr">
        <is>
          <t>F20</t>
        </is>
      </c>
      <c r="I24" s="5" t="inlineStr">
        <is>
          <t>RS Means FY24 CONUS; vault door removal, parametric</t>
        </is>
      </c>
    </row>
    <row r="25">
      <c r="A25" s="4" t="n">
        <v>15</v>
      </c>
      <c r="B25" s="4" t="inlineStr">
        <is>
          <t>G7B-VAULT CONST</t>
        </is>
      </c>
      <c r="C25" s="5" t="inlineStr">
        <is>
          <t>Install GSA Class V vault door at SECRET storage area entrance (Corridor 251, access to Rooms 245-250 cluster) - Hamilton CI-5 door, FLANGE 2094 flange set, certified installation, prorated air freight TQL Global Air Services CVG-OKA</t>
        </is>
      </c>
      <c r="D25" s="13" t="n">
        <v>1</v>
      </c>
      <c r="E25" s="4" t="inlineStr">
        <is>
          <t>EA</t>
        </is>
      </c>
      <c r="F25" s="14" t="n">
        <v>14599.4</v>
      </c>
      <c r="G25" s="15">
        <f>D25*F25</f>
        <v/>
      </c>
      <c r="H25" s="10" t="inlineStr">
        <is>
          <t>C10</t>
        </is>
      </c>
      <c r="I25" s="5" t="inlineStr">
        <is>
          <t xml:space="preserve"> Hamilton CI-5 door + FLANGE 2094: $10,143.40 | Prorated air freight TQL Global Air Services 5-door CVG-OKA shipment: $1,956.00 | Certified install labor 2-person crew OCONUS: $2,500.00 | Authority: MCO 5530.14A | UFC 4-010-05 | GSA Class V specification</t>
        </is>
      </c>
    </row>
    <row r="26">
      <c r="A26" s="4" t="n">
        <v>16</v>
      </c>
      <c r="B26" s="4" t="inlineStr">
        <is>
          <t>G7B-VAULT CONST</t>
        </is>
      </c>
      <c r="C26" s="5" t="inlineStr">
        <is>
          <t>Install security bars on windows, SECRET storage area (Rooms 245-250 cluster)</t>
        </is>
      </c>
      <c r="D26" s="13" t="n">
        <v>10</v>
      </c>
      <c r="E26" s="4" t="inlineStr">
        <is>
          <t>EA</t>
        </is>
      </c>
      <c r="F26" s="14" t="n">
        <v>1200</v>
      </c>
      <c r="G26" s="15">
        <f>D26*F26</f>
        <v/>
      </c>
      <c r="H26" s="10" t="inlineStr">
        <is>
          <t>C10</t>
        </is>
      </c>
      <c r="I26" s="5" t="inlineStr">
        <is>
          <t>RS Means FY24 CONUS; security bar installation per window, parametric; 10 EA confirmed by client 16 Mar 2026; MCO 5530.14A</t>
        </is>
      </c>
    </row>
    <row r="27">
      <c r="A27" s="4" t="n">
        <v>17</v>
      </c>
      <c r="B27" s="4" t="inlineStr">
        <is>
          <t>G7C-VAULT ELEC</t>
        </is>
      </c>
      <c r="C27" s="5" t="inlineStr">
        <is>
          <t>Install SIPR network rack in new SECRET storage area (Rooms 245-250 cluster) - rack, backboard, ground bus bar, fiber optic connection from TR, conduit per CNSSAM TEMPEST/01-13</t>
        </is>
      </c>
      <c r="D27" s="13" t="n">
        <v>1</v>
      </c>
      <c r="E27" s="4" t="inlineStr">
        <is>
          <t>LS</t>
        </is>
      </c>
      <c r="F27" s="14" t="n">
        <v>8500</v>
      </c>
      <c r="G27" s="15">
        <f>D27*F27</f>
        <v/>
      </c>
      <c r="H27" s="10" t="inlineStr">
        <is>
          <t>D50</t>
        </is>
      </c>
      <c r="I27" s="5" t="inlineStr">
        <is>
          <t>RS Means FY24 CONUS; SIPR network rack installation with infrastructure, parametric; CNSSAM TEMPEST/01-13 | DoDI 5200.08 | UFC 3-580-01</t>
        </is>
      </c>
    </row>
    <row r="28">
      <c r="A28" s="4" t="n">
        <v>18</v>
      </c>
      <c r="B28" s="4" t="inlineStr">
        <is>
          <t>G7C-VAULT ELEC</t>
        </is>
      </c>
      <c r="C28" s="5" t="inlineStr">
        <is>
          <t>Install conduit and raceways for IDS sensors, SECRET storage area (Rooms 245-250 cluster)</t>
        </is>
      </c>
      <c r="D28" s="13" t="n">
        <v>1</v>
      </c>
      <c r="E28" s="4" t="inlineStr">
        <is>
          <t>LS</t>
        </is>
      </c>
      <c r="F28" s="14" t="n">
        <v>3500</v>
      </c>
      <c r="G28" s="15">
        <f>D28*F28</f>
        <v/>
      </c>
      <c r="H28" s="10" t="inlineStr">
        <is>
          <t>D50</t>
        </is>
      </c>
      <c r="I28" s="5" t="inlineStr">
        <is>
          <t>RS Means FY24 CONUS; IDS sensor conduit and raceway installation, parametric; MCO 5530.14A | ESAMS</t>
        </is>
      </c>
    </row>
    <row r="29" ht="18" customHeight="1">
      <c r="A29" s="12" t="inlineStr">
        <is>
          <t>8.  HVAC AND PLUMBING: AHU AND MECHANICAL ROOM REPLACEMENT, MECHANICAL ROOM 115</t>
        </is>
      </c>
    </row>
    <row r="30">
      <c r="A30" s="4" t="n">
        <v>19</v>
      </c>
      <c r="B30" s="4" t="inlineStr">
        <is>
          <t>G8-AHU PLUMBING</t>
        </is>
      </c>
      <c r="C30" s="5" t="inlineStr">
        <is>
          <t>Replace central station AHU AC-1, Mechanical Room 115; 5,100 CFM, 2-pipe chilled water; original 2007 installation</t>
        </is>
      </c>
      <c r="D30" s="13" t="n">
        <v>1</v>
      </c>
      <c r="E30" s="4" t="inlineStr">
        <is>
          <t>EA</t>
        </is>
      </c>
      <c r="F30" s="14" t="n">
        <v>42000</v>
      </c>
      <c r="G30" s="15">
        <f>D30*F30</f>
        <v/>
      </c>
      <c r="H30" s="10" t="inlineStr">
        <is>
          <t>D30</t>
        </is>
      </c>
      <c r="I30" s="5" t="inlineStr">
        <is>
          <t>RS Means FY24 CONUS; central station CHW AHU R&amp;R, 2-pipe CHW, approx 5,000 CFM; Div 23 74 13 parametric; UFC 3-410-01</t>
        </is>
      </c>
    </row>
    <row r="31">
      <c r="A31" s="4" t="n">
        <v>20</v>
      </c>
      <c r="B31" s="4" t="inlineStr">
        <is>
          <t>G8-AHU PLUMBING</t>
        </is>
      </c>
      <c r="C31" s="5" t="inlineStr">
        <is>
          <t>Replace central station AHU AC-2, Mechanical Room 115; 14,545 CFM, 2-pipe chilled water; original 2007 installation</t>
        </is>
      </c>
      <c r="D31" s="13" t="n">
        <v>1</v>
      </c>
      <c r="E31" s="4" t="inlineStr">
        <is>
          <t>EA</t>
        </is>
      </c>
      <c r="F31" s="14" t="n">
        <v>89000</v>
      </c>
      <c r="G31" s="15">
        <f>D31*F31</f>
        <v/>
      </c>
      <c r="H31" s="10" t="inlineStr">
        <is>
          <t>D30</t>
        </is>
      </c>
      <c r="I31" s="5" t="inlineStr">
        <is>
          <t>RS Means FY24 CONUS; central station CHW AHU R&amp;R, 2-pipe CHW, approx 15,000 CFM; Div 23 74 13 parametric; UFC 3-410-01</t>
        </is>
      </c>
    </row>
    <row r="32">
      <c r="A32" s="4" t="n">
        <v>21</v>
      </c>
      <c r="B32" s="4" t="inlineStr">
        <is>
          <t>G8-AHU PLUMBING</t>
        </is>
      </c>
      <c r="C32" s="5" t="inlineStr">
        <is>
          <t>Mechanical room overhaul, Mechanical Room 115: CHW piping modifications, sensors, dampers, expansion tank, ductwork, insulation, and peripheral connections</t>
        </is>
      </c>
      <c r="D32" s="13" t="n">
        <v>1</v>
      </c>
      <c r="E32" s="4" t="inlineStr">
        <is>
          <t>LS</t>
        </is>
      </c>
      <c r="F32" s="14" t="n">
        <v>39300</v>
      </c>
      <c r="G32" s="15">
        <f>D32*F32</f>
        <v/>
      </c>
      <c r="H32" s="10" t="inlineStr">
        <is>
          <t>D30</t>
        </is>
      </c>
      <c r="I32" s="5" t="inlineStr">
        <is>
          <t>RS Means FY24 CONUS; 30% allowance of combined AHU cost ($42,000 + $89,000 = $131,000) = $39,300 LS; Level 3 ROM percentage-based allowance for peripheral work tied to major equipment replacement; scope confirmed per drawings and site; UFC 3-410-01</t>
        </is>
      </c>
    </row>
    <row r="33">
      <c r="A33" s="4" t="n">
        <v>22</v>
      </c>
      <c r="B33" s="4" t="inlineStr">
        <is>
          <t>G8-AHU PLUMBING</t>
        </is>
      </c>
      <c r="C33" s="5" t="inlineStr">
        <is>
          <t>Replace electric water heater WHE, Mechanical Room 115; 100 gal commercial electric</t>
        </is>
      </c>
      <c r="D33" s="13" t="n">
        <v>1</v>
      </c>
      <c r="E33" s="4" t="inlineStr">
        <is>
          <t>EA</t>
        </is>
      </c>
      <c r="F33" s="14" t="n">
        <v>3800</v>
      </c>
      <c r="G33" s="15">
        <f>D33*F33</f>
        <v/>
      </c>
      <c r="H33" s="10" t="inlineStr">
        <is>
          <t>D20</t>
        </is>
      </c>
      <c r="I33" s="5" t="inlineStr">
        <is>
          <t>RS Means FY24 CONUS; electric water heater R&amp;R, commercial, 100 gal; Div 22 33 30 parametric; UFC 3-420-01</t>
        </is>
      </c>
    </row>
    <row r="34">
      <c r="A34" s="4" t="n">
        <v>23</v>
      </c>
      <c r="B34" s="4" t="inlineStr">
        <is>
          <t>G8-AHU PLUMBING</t>
        </is>
      </c>
      <c r="C34" s="5" t="inlineStr">
        <is>
          <t>Replace domestic hot water recirculation pumps, Mechanical Room 115; 2 EA inline commercial</t>
        </is>
      </c>
      <c r="D34" s="13" t="n">
        <v>2</v>
      </c>
      <c r="E34" s="4" t="inlineStr">
        <is>
          <t>EA</t>
        </is>
      </c>
      <c r="F34" s="14" t="n">
        <v>1600</v>
      </c>
      <c r="G34" s="15">
        <f>D34*F34</f>
        <v/>
      </c>
      <c r="H34" s="10" t="inlineStr">
        <is>
          <t>D20</t>
        </is>
      </c>
      <c r="I34" s="5" t="inlineStr">
        <is>
          <t>RS Means FY24 CONUS; inline recirculation pump R&amp;R, commercial; Div 22 11 23 parametric; UFC 3-420-01</t>
        </is>
      </c>
    </row>
    <row r="36">
      <c r="A36" s="7" t="inlineStr">
        <is>
          <t>TOTAL BASE DIRECT COST (FY24 CONUS)</t>
        </is>
      </c>
      <c r="G36" s="6">
        <f>SUM(G5:G34)</f>
        <v/>
      </c>
    </row>
  </sheetData>
  <mergeCells count="11">
    <mergeCell ref="A15:I15"/>
    <mergeCell ref="A7:I7"/>
    <mergeCell ref="A29:I29"/>
    <mergeCell ref="A2:I2"/>
    <mergeCell ref="A36:F36"/>
    <mergeCell ref="A13:I13"/>
    <mergeCell ref="A1:I1"/>
    <mergeCell ref="A9:I9"/>
    <mergeCell ref="A22:I22"/>
    <mergeCell ref="A4:I4"/>
    <mergeCell ref="A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70" customWidth="1" min="4" max="4"/>
  </cols>
  <sheetData>
    <row r="1" ht="24" customHeight="1">
      <c r="A1" s="1" t="inlineStr">
        <is>
          <t>SCH-3314  |  COST ESTIMATE PARAMETERS  |  LEVEL 3 ROM  |  FY27  |  PAX ID 387433  |  Fi Web BU26PPE71M</t>
        </is>
      </c>
    </row>
    <row r="3">
      <c r="A3" s="2" t="inlineStr">
        <is>
          <t>PROJECT IDENTIFICATION</t>
        </is>
      </c>
    </row>
    <row r="4">
      <c r="A4" s="8" t="inlineStr">
        <is>
          <t>Estimate Title</t>
        </is>
      </c>
      <c r="B4" s="5" t="inlineStr">
        <is>
          <t>SCH-3314  |  Repair BATTALION SQUADRON HEADQUARTERS</t>
        </is>
      </c>
      <c r="C4" s="4" t="inlineStr">
        <is>
          <t>Text</t>
        </is>
      </c>
      <c r="D4" s="5" t="inlineStr">
        <is>
          <t>DD Form 1391  |  PAX ID 387433  |  Fi Web BU26PPE71M</t>
        </is>
      </c>
    </row>
    <row r="5">
      <c r="A5" s="8" t="inlineStr">
        <is>
          <t>Building / Installation</t>
        </is>
      </c>
      <c r="B5" s="5" t="inlineStr">
        <is>
          <t>SCH-3314  |  Camp Schwab, Okinawa, Japan</t>
        </is>
      </c>
      <c r="C5" s="4" t="inlineStr">
        <is>
          <t>Text</t>
        </is>
      </c>
      <c r="D5" s="5" t="inlineStr">
        <is>
          <t>MCIPAC G-F PPE</t>
        </is>
      </c>
    </row>
    <row r="6">
      <c r="A6" s="8" t="inlineStr">
        <is>
          <t>Supported Units</t>
        </is>
      </c>
      <c r="B6" s="5" t="inlineStr">
        <is>
          <t>4th Marine Regiment / III MEF</t>
        </is>
      </c>
      <c r="C6" s="4" t="inlineStr">
        <is>
          <t>Text</t>
        </is>
      </c>
      <c r="D6" s="5" t="inlineStr">
        <is>
          <t>Primary supported units</t>
        </is>
      </c>
    </row>
    <row r="7">
      <c r="A7" s="8" t="inlineStr">
        <is>
          <t>PAX ID</t>
        </is>
      </c>
      <c r="B7" s="5" t="n">
        <v>387433</v>
      </c>
      <c r="C7" s="4" t="inlineStr">
        <is>
          <t>ID</t>
        </is>
      </c>
      <c r="D7" s="5" t="inlineStr">
        <is>
          <t>PAX System</t>
        </is>
      </c>
    </row>
    <row r="8">
      <c r="A8" s="8" t="inlineStr">
        <is>
          <t>Fi Web Project Number</t>
        </is>
      </c>
      <c r="B8" s="5" t="inlineStr">
        <is>
          <t>BU26PPE71M</t>
        </is>
      </c>
      <c r="C8" s="4" t="inlineStr">
        <is>
          <t>ID</t>
        </is>
      </c>
      <c r="D8" s="5" t="inlineStr">
        <is>
          <t>Fi Web confirmed</t>
        </is>
      </c>
    </row>
    <row r="9">
      <c r="A9" s="8" t="inlineStr">
        <is>
          <t>iNFADS RPUID</t>
        </is>
      </c>
      <c r="B9" s="5" t="n">
        <v>50931</v>
      </c>
      <c r="C9" s="4" t="inlineStr">
        <is>
          <t>ID</t>
        </is>
      </c>
      <c r="D9" s="5" t="inlineStr">
        <is>
          <t>iNFADS Real Property record</t>
        </is>
      </c>
    </row>
    <row r="10">
      <c r="A10" s="8" t="inlineStr">
        <is>
          <t>Primary Project CCN</t>
        </is>
      </c>
      <c r="B10" s="5" t="n">
        <v>61072</v>
      </c>
      <c r="C10" s="4" t="inlineStr">
        <is>
          <t>CCN</t>
        </is>
      </c>
      <c r="D10" s="5" t="inlineStr">
        <is>
          <t>iNFADS CCN 61072</t>
        </is>
      </c>
    </row>
    <row r="11">
      <c r="A11" s="8" t="inlineStr">
        <is>
          <t>Total Building GSF</t>
        </is>
      </c>
      <c r="B11" s="5" t="n">
        <v>28699</v>
      </c>
      <c r="C11" s="4" t="inlineStr">
        <is>
          <t>SF</t>
        </is>
      </c>
      <c r="D11" s="5" t="inlineStr">
        <is>
          <t>iNFADS confirmed</t>
        </is>
      </c>
    </row>
    <row r="12">
      <c r="A12" s="8" t="inlineStr">
        <is>
          <t>Plant Replacement Value (iNFADS)</t>
        </is>
      </c>
      <c r="B12" s="5" t="n">
        <v>29826797</v>
      </c>
      <c r="C12" s="4" t="inlineStr">
        <is>
          <t>$</t>
        </is>
      </c>
      <c r="D12" s="5" t="inlineStr">
        <is>
          <t>iNFADS confirmed; UFC 3-701-01 w/Ch 7</t>
        </is>
      </c>
    </row>
    <row r="13">
      <c r="A13" s="8" t="inlineStr">
        <is>
          <t>Estimate Date</t>
        </is>
      </c>
      <c r="B13" s="5" t="inlineStr">
        <is>
          <t>29 Apr 2026</t>
        </is>
      </c>
      <c r="C13" s="4" t="inlineStr">
        <is>
          <t>Date</t>
        </is>
      </c>
      <c r="D13" s="5" t="inlineStr">
        <is>
          <t>Date of estimate production</t>
        </is>
      </c>
    </row>
    <row r="14">
      <c r="A14" s="8" t="inlineStr">
        <is>
          <t>Estimate Level</t>
        </is>
      </c>
      <c r="B14" s="5" t="inlineStr">
        <is>
          <t>Level 3 ROM</t>
        </is>
      </c>
      <c r="C14" s="4" t="inlineStr">
        <is>
          <t>Text</t>
        </is>
      </c>
      <c r="D14" s="5" t="inlineStr">
        <is>
          <t>UFS 3-740-05 (2 Feb 2026); for information only</t>
        </is>
      </c>
    </row>
    <row r="15">
      <c r="A15" s="8" t="inlineStr">
        <is>
          <t>Delivery Method</t>
        </is>
      </c>
      <c r="B15" s="5" t="inlineStr">
        <is>
          <t>Design-Build (DB)</t>
        </is>
      </c>
      <c r="C15" s="4" t="inlineStr">
        <is>
          <t>Method</t>
        </is>
      </c>
      <c r="D15" s="5" t="inlineStr">
        <is>
          <t>UFC 3-730-01 (2024)</t>
        </is>
      </c>
    </row>
    <row r="17">
      <c r="A17" s="2" t="inlineStr">
        <is>
          <t>COST INPUTS  (yellow = user input; locked unless directed)</t>
        </is>
      </c>
    </row>
    <row r="18">
      <c r="A18" s="8" t="inlineStr">
        <is>
          <t>Base Year</t>
        </is>
      </c>
      <c r="B18" s="14" t="n">
        <v>2024</v>
      </c>
      <c r="C18" s="4" t="inlineStr">
        <is>
          <t>FY</t>
        </is>
      </c>
      <c r="D18" s="5" t="inlineStr">
        <is>
          <t>FY24 CONUS base costs</t>
        </is>
      </c>
    </row>
    <row r="19">
      <c r="A19" s="8" t="inlineStr">
        <is>
          <t>Target Fiscal Year</t>
        </is>
      </c>
      <c r="B19" s="14" t="n">
        <v>2027</v>
      </c>
      <c r="C19" s="4" t="inlineStr">
        <is>
          <t>FY</t>
        </is>
      </c>
      <c r="D19" s="5" t="inlineStr">
        <is>
          <t>FY27 construction start</t>
        </is>
      </c>
    </row>
    <row r="20">
      <c r="A20" s="8" t="inlineStr">
        <is>
          <t>Area Cost Factor (ACF)</t>
        </is>
      </c>
      <c r="B20" s="16" t="n">
        <v>1.85</v>
      </c>
      <c r="C20" s="4" t="inlineStr">
        <is>
          <t>Multiplier</t>
        </is>
      </c>
      <c r="D20" s="5" t="inlineStr">
        <is>
          <t>UFC 3-701-01 w/Ch 7 (25 Jul 2025), Table 4-1 OCONUS Okinawa M67400-0004</t>
        </is>
      </c>
    </row>
    <row r="21">
      <c r="A21" s="8" t="inlineStr">
        <is>
          <t>Escalation Rate (annual)</t>
        </is>
      </c>
      <c r="B21" s="16" t="n">
        <v>0.021</v>
      </c>
      <c r="C21" s="4" t="inlineStr">
        <is>
          <t>%</t>
        </is>
      </c>
      <c r="D21" s="5" t="inlineStr">
        <is>
          <t>OSD FY25 published rate, client confirmed</t>
        </is>
      </c>
    </row>
    <row r="22">
      <c r="A22" s="8" t="inlineStr">
        <is>
          <t>Escalation Years</t>
        </is>
      </c>
      <c r="B22" s="17" t="n">
        <v>3</v>
      </c>
      <c r="C22" s="4" t="inlineStr">
        <is>
          <t>Years</t>
        </is>
      </c>
      <c r="D22" s="5" t="inlineStr">
        <is>
          <t>FY24 base to FY27 target</t>
        </is>
      </c>
    </row>
    <row r="23">
      <c r="A23" s="8" t="inlineStr">
        <is>
          <t>General Requirements</t>
        </is>
      </c>
      <c r="B23" s="16" t="n">
        <v>0.1</v>
      </c>
      <c r="C23" s="4" t="inlineStr">
        <is>
          <t>%</t>
        </is>
      </c>
      <c r="D23" s="5" t="inlineStr">
        <is>
          <t>FSRM program-directed; UFS 3-740-05</t>
        </is>
      </c>
    </row>
    <row r="25">
      <c r="A25" s="2" t="inlineStr">
        <is>
          <t>PAX ASSOCIATED COSTS  (informational; applied by PAX at submission)</t>
        </is>
      </c>
    </row>
    <row r="26">
      <c r="A26" s="8" t="inlineStr">
        <is>
          <t>Contingency</t>
        </is>
      </c>
      <c r="B26" s="18" t="n">
        <v>0.1</v>
      </c>
      <c r="C26" s="4" t="inlineStr">
        <is>
          <t>%</t>
        </is>
      </c>
      <c r="D26" s="5" t="inlineStr">
        <is>
          <t>FSRM program-directed; PAX-applied to items subtotal</t>
        </is>
      </c>
    </row>
    <row r="27">
      <c r="A27" s="8" t="inlineStr">
        <is>
          <t>Supervision Inspection and Overhead (SIOH)</t>
        </is>
      </c>
      <c r="B27" s="18" t="n">
        <v>0.08</v>
      </c>
      <c r="C27" s="4" t="inlineStr">
        <is>
          <t>%</t>
        </is>
      </c>
      <c r="D27" s="5" t="inlineStr">
        <is>
          <t>OCONUS FSRM customer-directed (8.0%); PAX-applied</t>
        </is>
      </c>
    </row>
    <row r="28">
      <c r="A28" s="8" t="inlineStr">
        <is>
          <t>Design-Build Design (DB)</t>
        </is>
      </c>
      <c r="B28" s="18" t="n">
        <v>0.04</v>
      </c>
      <c r="C28" s="4" t="inlineStr">
        <is>
          <t>%</t>
        </is>
      </c>
      <c r="D28" s="5" t="inlineStr">
        <is>
          <t>UFC 3-730-01 (2024); PAX-applied</t>
        </is>
      </c>
    </row>
    <row r="29">
      <c r="A29" s="8" t="inlineStr">
        <is>
          <t>Planning and Design (P&amp;D)</t>
        </is>
      </c>
      <c r="B29" s="18" t="n">
        <v>0.06</v>
      </c>
      <c r="C29" s="4" t="inlineStr">
        <is>
          <t>%</t>
        </is>
      </c>
      <c r="D29" s="5" t="inlineStr">
        <is>
          <t>NON ADD; informational only; does not roll into TPC</t>
        </is>
      </c>
    </row>
    <row r="31">
      <c r="A31" s="2" t="inlineStr">
        <is>
          <t>DERIVED VALUES  (live formulas; do not edit)</t>
        </is>
      </c>
    </row>
    <row r="32">
      <c r="A32" s="8" t="inlineStr">
        <is>
          <t>Compound Escalation Factor</t>
        </is>
      </c>
      <c r="B32" s="19">
        <f>(1+B21)^B22</f>
        <v/>
      </c>
      <c r="C32" s="4" t="inlineStr">
        <is>
          <t>Factor</t>
        </is>
      </c>
      <c r="D32" s="5" t="inlineStr">
        <is>
          <t>(1 + escalation)^years</t>
        </is>
      </c>
    </row>
    <row r="33">
      <c r="A33" s="8" t="inlineStr">
        <is>
          <t>Base Direct Cost (FY24 CONUS)</t>
        </is>
      </c>
      <c r="B33" s="6">
        <f>SCOPE_DETAIL!G36</f>
        <v/>
      </c>
      <c r="C33" s="4" t="inlineStr">
        <is>
          <t>$</t>
        </is>
      </c>
      <c r="D33" s="5" t="inlineStr">
        <is>
          <t>Sum of all scope items on SCOPE_DETAIL</t>
        </is>
      </c>
    </row>
    <row r="34">
      <c r="A34" s="8" t="inlineStr">
        <is>
          <t>Pre-Calibration Subtotal</t>
        </is>
      </c>
      <c r="B34" s="6">
        <f>B33*B20*B32*(1+B23)</f>
        <v/>
      </c>
      <c r="C34" s="4" t="inlineStr">
        <is>
          <t>$</t>
        </is>
      </c>
      <c r="D34" s="5" t="inlineStr">
        <is>
          <t>Base Direct x ACF x Escalation x (1 + General Requirements)</t>
        </is>
      </c>
    </row>
    <row r="35">
      <c r="A35" s="8" t="inlineStr">
        <is>
          <t>Locked Total Project Cost</t>
        </is>
      </c>
      <c r="B35" s="6" t="n">
        <v>1949383</v>
      </c>
      <c r="C35" s="4" t="inlineStr">
        <is>
          <t>$</t>
        </is>
      </c>
      <c r="D35" s="5" t="inlineStr">
        <is>
          <t>PAX-locked TPC; reconciliation target</t>
        </is>
      </c>
    </row>
    <row r="36">
      <c r="A36" s="8" t="inlineStr">
        <is>
          <t>Items Subtotal Target (PAX paste)</t>
        </is>
      </c>
      <c r="B36" s="6">
        <f>B35/1.23552</f>
        <v/>
      </c>
      <c r="C36" s="4" t="inlineStr">
        <is>
          <t>$</t>
        </is>
      </c>
      <c r="D36" s="5" t="inlineStr">
        <is>
          <t>Locked TPC / 1.23552  (1.10 x 1.08 x 1.04)</t>
        </is>
      </c>
    </row>
    <row r="37">
      <c r="A37" s="8" t="inlineStr">
        <is>
          <t>Cost Adjustment Factor</t>
        </is>
      </c>
      <c r="B37" s="19">
        <f>B36/B34</f>
        <v/>
      </c>
      <c r="C37" s="4" t="inlineStr">
        <is>
          <t>Factor</t>
        </is>
      </c>
      <c r="D37" s="5" t="inlineStr">
        <is>
          <t>Items Subtotal Target / Pre-Calibration Subtotal; calibrates ROM chain to locked TPC</t>
        </is>
      </c>
    </row>
    <row r="39">
      <c r="A39" s="2" t="inlineStr">
        <is>
          <t>PLANNING RATES</t>
        </is>
      </c>
    </row>
    <row r="40">
      <c r="A40" s="8" t="inlineStr">
        <is>
          <t>JPY/USD Planning Rate</t>
        </is>
      </c>
      <c r="B40" s="20" t="n">
        <v>150.4415</v>
      </c>
      <c r="C40" s="4" t="inlineStr">
        <is>
          <t>Rate</t>
        </is>
      </c>
      <c r="D40" s="5" t="inlineStr">
        <is>
          <t>FY26 budget planning rate; H.10 live rate at PAX submission</t>
        </is>
      </c>
    </row>
    <row r="42">
      <c r="A42" s="2" t="inlineStr">
        <is>
          <t>ACTIVE REFERENCES</t>
        </is>
      </c>
    </row>
    <row r="43">
      <c r="A43" s="5" t="inlineStr">
        <is>
          <t>MCO 11000.5 (03 Jun 2016)  |  Real Property FSRM Program</t>
        </is>
      </c>
    </row>
    <row r="44">
      <c r="A44" s="5" t="inlineStr">
        <is>
          <t>MCO 11000.12 (08 Sep 2014)  |  Real Property Facilities Manual</t>
        </is>
      </c>
    </row>
    <row r="45">
      <c r="A45" s="5" t="inlineStr">
        <is>
          <t>Consistency Review Board Guidelines (May 2024, REV #15)  |  DD Form 1391 line-item sequencing</t>
        </is>
      </c>
    </row>
    <row r="46">
      <c r="A46" s="5" t="inlineStr">
        <is>
          <t>UFC 3-701-01 with Change 7 (25 Jul 2025)  |  PUC, ACF, PRV authority</t>
        </is>
      </c>
    </row>
    <row r="47">
      <c r="A47" s="5" t="inlineStr">
        <is>
          <t>UFC 3-730-01 (2024)  |  Design-Build contracting</t>
        </is>
      </c>
    </row>
    <row r="48">
      <c r="A48" s="5" t="inlineStr">
        <is>
          <t>UFS 3-740-05 (02 Feb 2026)  |  Cost estimating ROM levels</t>
        </is>
      </c>
    </row>
    <row r="49">
      <c r="A49" s="5" t="inlineStr">
        <is>
          <t>JED Cost Estimating Guidance (Combined, Nov 2025)</t>
        </is>
      </c>
    </row>
    <row r="50">
      <c r="A50" s="5" t="inlineStr">
        <is>
          <t>Japan District Design Guide v9 (April 2025)</t>
        </is>
      </c>
    </row>
    <row r="51">
      <c r="A51" s="5" t="inlineStr">
        <is>
          <t>10 U.S.C. Section 2802  |  DoD 4270.5-M  |  Classification of Work</t>
        </is>
      </c>
    </row>
  </sheetData>
  <mergeCells count="16">
    <mergeCell ref="A1:D1"/>
    <mergeCell ref="A17:D17"/>
    <mergeCell ref="A45:D45"/>
    <mergeCell ref="A31:D31"/>
    <mergeCell ref="A50:D50"/>
    <mergeCell ref="A48:D48"/>
    <mergeCell ref="A3:D3"/>
    <mergeCell ref="A39:D39"/>
    <mergeCell ref="A25:D25"/>
    <mergeCell ref="A43:D43"/>
    <mergeCell ref="A51:D51"/>
    <mergeCell ref="A49:D49"/>
    <mergeCell ref="A47:D47"/>
    <mergeCell ref="A42:D42"/>
    <mergeCell ref="A46:D46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70" customWidth="1" min="3" max="3"/>
  </cols>
  <sheetData>
    <row r="1" ht="24" customHeight="1">
      <c r="A1" s="1" t="inlineStr">
        <is>
          <t>SCH-3314  |  DD FORM 1391 BLOCK 9 - PAX PASTE  |  LEVEL 3 ROM  |  FY27  |  PAX ID 387433  |  Fi Web BU26PPE71M</t>
        </is>
      </c>
    </row>
    <row r="2" ht="30" customHeight="1">
      <c r="A2" s="21" t="inlineStr">
        <is>
          <t>All amounts in $000s. Paste discipline rollups into PAX Block 9 items table; PAX-loaded Cont 10% / SIOH 8% / DB 4% render the printed Total Project Cost. P&amp;D 6% NON ADD shown for visibility.</t>
        </is>
      </c>
    </row>
    <row r="3" ht="24" customHeight="1">
      <c r="A3" s="3" t="inlineStr">
        <is>
          <t>Cost Element</t>
        </is>
      </c>
      <c r="B3" s="3" t="inlineStr">
        <is>
          <t>Amount ($000)</t>
        </is>
      </c>
      <c r="C3" s="3" t="inlineStr">
        <is>
          <t>Notes / UNIFORMAT</t>
        </is>
      </c>
    </row>
    <row r="4">
      <c r="A4" s="8" t="inlineStr">
        <is>
          <t>C10  |  Interior Construction</t>
        </is>
      </c>
      <c r="B4" s="6">
        <f>ROUND( SUMIF(SCOPE_DETAIL!H:H,"C10",SCOPE_DETAIL!G:G) * (PARAMETERS!B34/PARAMETERS!B33) * PARAMETERS!B37 / 1000, 0)</f>
        <v/>
      </c>
      <c r="C4" s="5" t="inlineStr">
        <is>
          <t>UNIFORMAT II Lv2 C10 rollup; absorbs base-cost adjustments via Cost Adjustment Factor</t>
        </is>
      </c>
    </row>
    <row r="5">
      <c r="A5" s="8" t="inlineStr">
        <is>
          <t>D20  |  Plumbing</t>
        </is>
      </c>
      <c r="B5" s="6">
        <f>ROUND( SUMIF(SCOPE_DETAIL!H:H,"D20",SCOPE_DETAIL!G:G) * (PARAMETERS!B34/PARAMETERS!B33) * PARAMETERS!B37 / 1000, 0)</f>
        <v/>
      </c>
      <c r="C5" s="5" t="inlineStr">
        <is>
          <t>UNIFORMAT II Lv2 D20 rollup; absorbs base-cost adjustments via Cost Adjustment Factor</t>
        </is>
      </c>
    </row>
    <row r="6">
      <c r="A6" s="8" t="inlineStr">
        <is>
          <t>D30  |  HVAC / Mechanical</t>
        </is>
      </c>
      <c r="B6" s="6">
        <f>ROUND( SUMIF(SCOPE_DETAIL!H:H,"D30",SCOPE_DETAIL!G:G) * (PARAMETERS!B34/PARAMETERS!B33) * PARAMETERS!B37 / 1000, 0)</f>
        <v/>
      </c>
      <c r="C6" s="5" t="inlineStr">
        <is>
          <t>UNIFORMAT II Lv2 D30 rollup; absorbs base-cost adjustments via Cost Adjustment Factor</t>
        </is>
      </c>
    </row>
    <row r="7">
      <c r="A7" s="8" t="inlineStr">
        <is>
          <t>D50  |  Electrical / Communications</t>
        </is>
      </c>
      <c r="B7" s="6">
        <f>ROUND( SUMIF(SCOPE_DETAIL!H:H,"D50",SCOPE_DETAIL!G:G) * (PARAMETERS!B34/PARAMETERS!B33) * PARAMETERS!B37 / 1000, 0)</f>
        <v/>
      </c>
      <c r="C7" s="5" t="inlineStr">
        <is>
          <t>UNIFORMAT II Lv2 D50 rollup; absorbs base-cost adjustments via Cost Adjustment Factor</t>
        </is>
      </c>
    </row>
    <row r="8">
      <c r="A8" s="8" t="inlineStr">
        <is>
          <t>F20  |  Selective Demolition</t>
        </is>
      </c>
      <c r="B8" s="6">
        <f>ROUND( SUMIF(SCOPE_DETAIL!H:H,"F20",SCOPE_DETAIL!G:G) * (PARAMETERS!B34/PARAMETERS!B33) * PARAMETERS!B37 / 1000, 0)</f>
        <v/>
      </c>
      <c r="C8" s="5" t="inlineStr">
        <is>
          <t>UNIFORMAT II Lv2 F20 rollup; absorbs base-cost adjustments via Cost Adjustment Factor</t>
        </is>
      </c>
    </row>
    <row r="9">
      <c r="A9" s="7" t="inlineStr">
        <is>
          <t>ITEMS SUBTOTAL  (PAX Block 9 paste total)</t>
        </is>
      </c>
      <c r="B9" s="6">
        <f>SUM(B4:B8)</f>
        <v/>
      </c>
      <c r="C9" s="5" t="inlineStr">
        <is>
          <t>Sum of discipline rollups; this is the value pasted into PAX items table</t>
        </is>
      </c>
    </row>
    <row r="11">
      <c r="A11" s="8" t="inlineStr">
        <is>
          <t>Contingency (10.0%)  PAX-applied</t>
        </is>
      </c>
      <c r="B11" s="6">
        <f>B9*0.10</f>
        <v/>
      </c>
      <c r="C11" s="5" t="inlineStr">
        <is>
          <t>10% of items subtotal; FSRM program-directed</t>
        </is>
      </c>
    </row>
    <row r="12">
      <c r="A12" s="8" t="inlineStr">
        <is>
          <t>Total Contract Cost</t>
        </is>
      </c>
      <c r="B12" s="6">
        <f>B9*1.10</f>
        <v/>
      </c>
      <c r="C12" s="5" t="inlineStr">
        <is>
          <t>Items subtotal x 1.10</t>
        </is>
      </c>
    </row>
    <row r="13">
      <c r="A13" s="8" t="inlineStr">
        <is>
          <t>SIOH (8.0%)  PAX-applied</t>
        </is>
      </c>
      <c r="B13" s="6">
        <f>B9*1.10*0.08</f>
        <v/>
      </c>
      <c r="C13" s="5" t="inlineStr">
        <is>
          <t>8% of TCC; OCONUS FSRM customer-directed</t>
        </is>
      </c>
    </row>
    <row r="14">
      <c r="A14" s="8" t="inlineStr">
        <is>
          <t>Total Funded Cost</t>
        </is>
      </c>
      <c r="B14" s="6">
        <f>B9*1.10*1.08</f>
        <v/>
      </c>
      <c r="C14" s="5" t="inlineStr">
        <is>
          <t>TCC x 1.08</t>
        </is>
      </c>
    </row>
    <row r="15">
      <c r="A15" s="8" t="inlineStr">
        <is>
          <t>DB Design (4.0%)  PAX-applied</t>
        </is>
      </c>
      <c r="B15" s="6">
        <f>B9*1.10*1.08*0.04</f>
        <v/>
      </c>
      <c r="C15" s="5" t="inlineStr">
        <is>
          <t>4% of TFC; UFC 3-730-01 (2024)</t>
        </is>
      </c>
    </row>
    <row r="16">
      <c r="A16" s="8" t="inlineStr">
        <is>
          <t>TOTAL PROJECT COST</t>
        </is>
      </c>
      <c r="B16" s="6">
        <f>B9*1.23552</f>
        <v/>
      </c>
      <c r="C16" s="5" t="inlineStr">
        <is>
          <t>TFC x 1.04 = items subtotal x 1.23552</t>
        </is>
      </c>
    </row>
    <row r="17">
      <c r="A17" s="7" t="inlineStr">
        <is>
          <t>TOTAL PROJECT COST  ($000 rounded)</t>
        </is>
      </c>
      <c r="B17" s="22">
        <f>ROUND(B16,0)</f>
        <v/>
      </c>
      <c r="C17" s="5" t="inlineStr">
        <is>
          <t>Printed TPC on DD Form 1391 face</t>
        </is>
      </c>
    </row>
    <row r="19">
      <c r="A19" s="23" t="inlineStr">
        <is>
          <t>Planning and Design (6.0%)  NON ADD</t>
        </is>
      </c>
      <c r="B19" s="24">
        <f>ROUND(B9*0.06,0)</f>
        <v/>
      </c>
      <c r="C19" s="25" t="inlineStr">
        <is>
          <t>Informational; does not roll into TPC; PAX renders separately on form</t>
        </is>
      </c>
    </row>
    <row r="21">
      <c r="A21" s="8" t="inlineStr">
        <is>
          <t>Reconciliation (must equal 0)</t>
        </is>
      </c>
      <c r="B21" s="9">
        <f>B17-ROUND(PARAMETERS!B35/1000,0)</f>
        <v/>
      </c>
      <c r="C21" s="5" t="inlineStr">
        <is>
          <t>Printed TPC ($000) minus Locked TPC ($000)</t>
        </is>
      </c>
    </row>
    <row r="23">
      <c r="A23" s="2" t="inlineStr">
        <is>
          <t>CLASSIFICATION OF WORK</t>
        </is>
      </c>
    </row>
    <row r="24">
      <c r="A24" s="8" t="inlineStr">
        <is>
          <t>Construction</t>
        </is>
      </c>
      <c r="B24" s="15">
        <f>B17</f>
        <v/>
      </c>
      <c r="C24" s="5" t="inlineStr">
        <is>
          <t>100% of Total Project Cost  |  10 U.S.C. Section 2802</t>
        </is>
      </c>
    </row>
    <row r="25">
      <c r="A25" s="8" t="inlineStr">
        <is>
          <t>Special Interest: Restoration and Modernization</t>
        </is>
      </c>
      <c r="B25" s="15">
        <f>B17</f>
        <v/>
      </c>
      <c r="C25" s="5" t="inlineStr">
        <is>
          <t>100% SRM  |  MCO 11000.12  |  DoD 4270.5-M</t>
        </is>
      </c>
    </row>
  </sheetData>
  <mergeCells count="3">
    <mergeCell ref="A1:C1"/>
    <mergeCell ref="A23:C23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2026-04-29T09:48:58Z</dcterms:created>
  <dcterms:modified xsi:type="dcterms:W3CDTF">2026-04-29T09:48:58Z</dcterms:modified>
</cp:coreProperties>
</file>