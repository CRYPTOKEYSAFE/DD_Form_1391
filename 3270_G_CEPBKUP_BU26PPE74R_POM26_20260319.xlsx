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mc-my.sharepoint-mil.us/personal/anthony_l_potter_ctr_usmc_mil/Documents/Desktop/COST_ESTIMATING/3270/"/>
    </mc:Choice>
  </mc:AlternateContent>
  <xr:revisionPtr revIDLastSave="144" documentId="11_74FEE3413FF401E62C8BBB77F01F131876DFA7FD" xr6:coauthVersionLast="47" xr6:coauthVersionMax="47" xr10:uidLastSave="{19349DA8-8807-4A7F-A3D2-EB4B7D6C3BA6}"/>
  <bookViews>
    <workbookView xWindow="-120" yWindow="90" windowWidth="29040" windowHeight="15510" tabRatio="500" xr2:uid="{00000000-000D-0000-FFFF-FFFF00000000}"/>
  </bookViews>
  <sheets>
    <sheet name="ESTIMATE" sheetId="1" r:id="rId1"/>
    <sheet name="SCOPE_DETAIL" sheetId="2" r:id="rId2"/>
    <sheet name="PARAMETERS" sheetId="3" r:id="rId3"/>
    <sheet name="DD1391_BLOCK9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4" l="1"/>
  <c r="B39" i="3"/>
  <c r="G65" i="2"/>
  <c r="G64" i="2"/>
  <c r="G63" i="2"/>
  <c r="G62" i="2"/>
  <c r="G61" i="2"/>
  <c r="G59" i="2"/>
  <c r="G58" i="2"/>
  <c r="G57" i="2"/>
  <c r="G56" i="2"/>
  <c r="G55" i="2"/>
  <c r="G53" i="2"/>
  <c r="G52" i="2"/>
  <c r="G51" i="2"/>
  <c r="G50" i="2"/>
  <c r="G49" i="2"/>
  <c r="G48" i="2"/>
  <c r="G46" i="2"/>
  <c r="G45" i="2"/>
  <c r="G43" i="2"/>
  <c r="G42" i="2"/>
  <c r="G41" i="2"/>
  <c r="G39" i="2"/>
  <c r="G38" i="2"/>
  <c r="G36" i="2"/>
  <c r="G35" i="2"/>
  <c r="G33" i="2"/>
  <c r="G32" i="2"/>
  <c r="G31" i="2"/>
  <c r="G30" i="2"/>
  <c r="G29" i="2"/>
  <c r="G27" i="2"/>
  <c r="G26" i="2"/>
  <c r="G25" i="2"/>
  <c r="G24" i="2"/>
  <c r="G23" i="2"/>
  <c r="G22" i="2"/>
  <c r="G19" i="2"/>
  <c r="G18" i="2"/>
  <c r="G17" i="2"/>
  <c r="G16" i="2"/>
  <c r="G15" i="2"/>
  <c r="G14" i="2"/>
  <c r="G13" i="2"/>
  <c r="G12" i="2"/>
  <c r="G11" i="2"/>
  <c r="G10" i="2"/>
  <c r="G9" i="2"/>
  <c r="G8" i="2"/>
  <c r="G20" i="2" s="1"/>
  <c r="G67" i="2" s="1"/>
  <c r="C4" i="1" s="1"/>
  <c r="G7" i="2"/>
  <c r="G6" i="2"/>
  <c r="G5" i="2"/>
  <c r="C33" i="1"/>
  <c r="C32" i="1"/>
  <c r="C31" i="1"/>
  <c r="C30" i="1"/>
  <c r="C29" i="1"/>
  <c r="C28" i="1"/>
  <c r="C34" i="1" s="1"/>
  <c r="C9" i="1"/>
  <c r="C5" i="1" l="1"/>
  <c r="C6" i="1" s="1"/>
  <c r="C7" i="1" s="1"/>
  <c r="B9" i="4"/>
  <c r="B10" i="4" l="1"/>
  <c r="B11" i="4" s="1"/>
  <c r="C8" i="1"/>
  <c r="C10" i="1" s="1"/>
  <c r="B4" i="4"/>
  <c r="B5" i="4"/>
  <c r="B6" i="4"/>
  <c r="B7" i="4"/>
  <c r="B8" i="4"/>
  <c r="C15" i="1" l="1"/>
  <c r="B14" i="4" s="1"/>
  <c r="C14" i="1"/>
  <c r="B13" i="4" s="1"/>
  <c r="C16" i="1"/>
  <c r="B15" i="4" s="1"/>
  <c r="C18" i="1" l="1"/>
  <c r="B16" i="4" l="1"/>
  <c r="C24" i="1"/>
  <c r="C19" i="1"/>
  <c r="B21" i="4" s="1"/>
  <c r="C39" i="1"/>
  <c r="C40" i="1" s="1"/>
  <c r="C20" i="1" l="1"/>
  <c r="B22" i="4" s="1"/>
  <c r="B20" i="4"/>
  <c r="B19" i="4"/>
</calcChain>
</file>

<file path=xl/sharedStrings.xml><?xml version="1.0" encoding="utf-8"?>
<sst xmlns="http://schemas.openxmlformats.org/spreadsheetml/2006/main" count="518" uniqueCount="351">
  <si>
    <t>SCH-3270  |  ROM COST ESTIMATE  |  LEVEL 3  |  FY27  |  PAX ID 387568  |  Fi Web BU26PPE74M</t>
  </si>
  <si>
    <t>Element</t>
  </si>
  <si>
    <t>Amount ($)</t>
  </si>
  <si>
    <t>Formula / Source</t>
  </si>
  <si>
    <t>1</t>
  </si>
  <si>
    <t>Base Direct Cost (FY24 CONUS)</t>
  </si>
  <si>
    <t>2</t>
  </si>
  <si>
    <t>x ACF 1.85 (Camp Schwab) = ACF-Adjusted Cost</t>
  </si>
  <si>
    <t>3</t>
  </si>
  <si>
    <t>x Compound Escalation Factor = Escalated Cost (FY27)</t>
  </si>
  <si>
    <t xml:space="preserve"> C5 x (1.021)^3 = 1.0643  |  FY24 to FY27  |  OSD FY25 published rate</t>
  </si>
  <si>
    <t>4</t>
  </si>
  <si>
    <t>x (1 + General Requirements 10%) = Gen Req Applied</t>
  </si>
  <si>
    <t xml:space="preserve"> C6 x 1.10  |  General Requirements per UFS 3-740-05</t>
  </si>
  <si>
    <t>5</t>
  </si>
  <si>
    <t>x (1 + Contingency 10%) = Construction Subtotal</t>
  </si>
  <si>
    <t>6</t>
  </si>
  <si>
    <t>+ LSH Allowance (2.5% of PRV)</t>
  </si>
  <si>
    <t xml:space="preserve"> PRV $39,507,617 x 2.5%  |  iNFADS RPUID 1174058  |  MCO 11000.12  |  NAVFAC 11010.44E CH-1</t>
  </si>
  <si>
    <t>CONSTRUCTION BASE  (Construction Subtotal + LSH)</t>
  </si>
  <si>
    <t xml:space="preserve"> Construction Subtotal + LSH Allowance</t>
  </si>
  <si>
    <t>B.  PROGRAM ADDERS</t>
  </si>
  <si>
    <t>Design (6.0%)</t>
  </si>
  <si>
    <t xml:space="preserve"> Construction Base x 6.0%  |  NAVFAC agency-directed</t>
  </si>
  <si>
    <t xml:space="preserve"> Construction Base x 8.0%  |  OCONUS FSRM customer-directed rate (NOT standard 7.3%)</t>
  </si>
  <si>
    <t>Construction Management (4.0%)</t>
  </si>
  <si>
    <t xml:space="preserve"> Construction Base x 4.0%  |  NAVFAC agency-directed</t>
  </si>
  <si>
    <t>TOTAL FUNDED COST</t>
  </si>
  <si>
    <t xml:space="preserve"> Construction Base + Design + SIOH + CM  |  rounded to nearest dollar</t>
  </si>
  <si>
    <t xml:space="preserve"> Total Funded x 4.0%  |  UFC 3-730-01 (2024)  |  applied after Total Funded per DD1391 convention</t>
  </si>
  <si>
    <t>TOTAL PROJECT COST</t>
  </si>
  <si>
    <t xml:space="preserve"> Total Funded + Design-Build Design</t>
  </si>
  <si>
    <t>C.  COST PER SQUARE FOOT</t>
  </si>
  <si>
    <t>Item</t>
  </si>
  <si>
    <t>Basis</t>
  </si>
  <si>
    <t>Cost / Whole Building GSF (25,390 SF)</t>
  </si>
  <si>
    <t xml:space="preserve"> Total Funded / total building GSF  |  systems repair benchmark  |  LSH is dominant driver at this scope level</t>
  </si>
  <si>
    <t>Code</t>
  </si>
  <si>
    <t>Category</t>
  </si>
  <si>
    <t>Base Direct ($)</t>
  </si>
  <si>
    <t>Description / Items</t>
  </si>
  <si>
    <t>B20</t>
  </si>
  <si>
    <t>Exterior Doors</t>
  </si>
  <si>
    <t>Roll-up door inspection and repair  |  22 EA  |  2010 vintage exterior vehicle bay doors</t>
  </si>
  <si>
    <t>C10</t>
  </si>
  <si>
    <t>Interior Construction</t>
  </si>
  <si>
    <t>Wall repair  |  anchor wire cable resecure  |  restroom remediation</t>
  </si>
  <si>
    <t>C30</t>
  </si>
  <si>
    <t>Interior Finishes</t>
  </si>
  <si>
    <t>Ceiling tile replacement  |  2,500 SF mold/mildew damaged tile</t>
  </si>
  <si>
    <t>D20</t>
  </si>
  <si>
    <t>Plumbing</t>
  </si>
  <si>
    <t>Emergency eyewash/shower stations  |  2F water cooler RM214</t>
  </si>
  <si>
    <t>D30</t>
  </si>
  <si>
    <t>HVAC / Mechanical</t>
  </si>
  <si>
    <t>ACP replacement (7 outdoor + 24 fan coils)  |  DOAS (4 units)  |  exhaust fans (22 EA)  |  hose reels (10 EA)  |  RM117 welding exhaust  |  RM114 removal  |  battery room  |  compressed air</t>
  </si>
  <si>
    <t>D50</t>
  </si>
  <si>
    <t>Electrical / Communications</t>
  </si>
  <si>
    <t>Lighting (94 fixtures)  |  Cat6 NIPR infrastructure (70 drops)  |  TR upgrades  |  MNS</t>
  </si>
  <si>
    <t>TOTAL BASE DIRECT COST (FY24 CONUS)</t>
  </si>
  <si>
    <t>E.  ESTIMATE VERSION HISTORY</t>
  </si>
  <si>
    <t>Estimate Version</t>
  </si>
  <si>
    <t>Total Funded ($)</t>
  </si>
  <si>
    <t>Notes</t>
  </si>
  <si>
    <t>v8  (07 Mar 2026)</t>
  </si>
  <si>
    <t>HVAC ACP replacement (7 units + 24 fan coils) + lighting (94 fixtures) + telecom Cat6/WAO infrastructure only</t>
  </si>
  <si>
    <t>Full mechanical scope added: DOAS (4 units) + exhaust systems (22 fans + 10 hose reels) + welding exhaust restore + battery room + compressed air + plumbing + roll-up doors (22 EA) + NIPR drops (70 EA) + MNS + architectural</t>
  </si>
  <si>
    <t>Delta (v9 vs v8)</t>
  </si>
  <si>
    <t xml:space="preserve"> Scope expansion: full mechanical discipline + communications + architectural</t>
  </si>
  <si>
    <t>F.  METHODOLOGY SUMMARY</t>
  </si>
  <si>
    <t>1. Estimate Level</t>
  </si>
  <si>
    <t>2. Scope Basis</t>
  </si>
  <si>
    <t>42 discrete work items across 10 discipline groups: Mechanical HVAC ACP replacement, DOAS fresh air (4 units), exhaust systems (22 fans + 10 hose reels), battery room, compressed air; Plumbing (safety stations + water cooler); Exterior Doors (roll-up door repair, 22 EA); Electrical lighting (94 fixtures); Communications (Cat6 NIPR infrastructure 70 drops, TR upgrades, MNS); Architectural (ceiling tile, wall repair, restroom remediation). DD Form 1391 PAX ID 387568. iNFADS RPUID 1174058. References: AS-BUILT COMM drawings MC0513T H20 (2008); mechanical as-built drawings reviewed 19 Mar 2026; ACP equipment schedule confirmed 07 Mar 2026.</t>
  </si>
  <si>
    <t>3. Area Cost Factor</t>
  </si>
  <si>
    <t>1.85. Camp Schwab, Okinawa, Japan per UFC 3-701-01 w/Change 7 (25 Jul 2025), Table 4-1 OCONUS, installation M67400-0004.</t>
  </si>
  <si>
    <t>4. Escalation</t>
  </si>
  <si>
    <t>2.1%/yr; OSD FY25 published rate, client-confirmed. FY24 base to FY27 target = 3 years. Compound factor (1.021)^3 = 1.0643322610 (live formula in PARAMETERS B39).</t>
  </si>
  <si>
    <t>5. General Requirements</t>
  </si>
  <si>
    <t>10.0%, FSRM program-directed.</t>
  </si>
  <si>
    <t>6. Contingency</t>
  </si>
  <si>
    <t>10.0%, FSRM program-directed, Level 3 ROM. UFS 3-740-05 (2 Feb 2026).</t>
  </si>
  <si>
    <t>7. LSH</t>
  </si>
  <si>
    <t>PRV = $39,507,617 (iNFADS confirmed | RPUID 1174058 | CCN 21451 | 25,390 GSF). LSH = PRV x 2.5% = $987,690. Authority: NAVFAC 11010.44E CH-1; MCO 11000.12 (08 Sep 2014). LSH represents a significant portion of Total Funded consistent with a targeted systems repair project at a large facility.</t>
  </si>
  <si>
    <t>8. Program Adders</t>
  </si>
  <si>
    <t>Design 6%, NAVFAC agency-directed. SIOH 8.0% OCONUS FSRM customer-directed (NOT standard 7.3%; deviation documented). CM 4% agency-directed. DB Design 4% applied AFTER Total Funded per UFC 3-730-01 (2024). Delivery method: Design-Build (DB).</t>
  </si>
  <si>
    <t>9. Unit Cost Basis</t>
  </si>
  <si>
    <t>FY24 CONUS pre-ACF unit costs per RS Means assembly-level data. UFC 3-410-01 (HVAC), UFC 3-520-01 (Electrical), UFC 3-530-01 (Lighting), UFC 3-580-01 (Communications), UFC 3-420-01 (Plumbing). ACP capacities and quantities confirmed from equipment schedule 07 Mar 2026. DOAS unit count (4 EA) and exhaust fan count (22 EA general + 10 hose reels) confirmed from AS-BUILT mechanical equipment schedules. NIPR drops (70 EA: 40 CLB-4 by room, 30 4th MarRegt) confirmed from unit-provided requirements 18 Mar 2026. TR rack infrastructure confirmed from AS-BUILT COMM drawing elevation details. Roll-up door count (22 EA) confirmed from AS-BUILT drawings.</t>
  </si>
  <si>
    <t>10. Items Requiring Verification</t>
  </si>
  <si>
    <t>JPY/USD exchange rate (PARAMETERS B41): confirm from Federal Reserve H.10 on date of PAX submission.</t>
  </si>
  <si>
    <t>11. Methodology Deviations</t>
  </si>
  <si>
    <t>12. Prepared By</t>
  </si>
  <si>
    <t>13. Version History</t>
  </si>
  <si>
    <t>SCH-3270  |  SCOPE DETAIL &amp; QUANTITY TAKEOFF  |  BASE YEAR FY24 CONUS DIRECT COSTS  |  Fi Web BU26PPE74M</t>
  </si>
  <si>
    <t xml:space="preserve"> Blue = confirmed scope. Black = formula. All unit costs FY24 CONUS pre-ACF. No HAZMAT scope.</t>
  </si>
  <si>
    <t>Group</t>
  </si>
  <si>
    <t>Work Description</t>
  </si>
  <si>
    <t>Qty</t>
  </si>
  <si>
    <t>Unit</t>
  </si>
  <si>
    <t>Unit Cost
(FY24 CONUS)</t>
  </si>
  <si>
    <t>Extended
Cost</t>
  </si>
  <si>
    <t>UNIFORMAT
II Lv2</t>
  </si>
  <si>
    <t>Cost Basis / Notes</t>
  </si>
  <si>
    <t>Mech</t>
  </si>
  <si>
    <t>Replace VRF outdoor condensing unit ACP-1 | 50.2 KW / 14.3 tons | furnished and installed complete with refrigerant line connections, electrical connections, startup and commissioning</t>
  </si>
  <si>
    <t>EA</t>
  </si>
  <si>
    <t>RS Means D3030; large commercial VRF condensing unit; UFC 3-410-01; ACP capacity confirmed 07 Mar 2026</t>
  </si>
  <si>
    <t>Replace VRF outdoor condensing unit ACP-2 | 26.2 KW / 7.4 tons | furnished and installed complete</t>
  </si>
  <si>
    <t>RS Means D3030; UFC 3-410-01</t>
  </si>
  <si>
    <t>Replace VRF outdoor condensing unit ACP-3 | 40.0 KW / 11.4 tons | furnished and installed complete</t>
  </si>
  <si>
    <t>Replace VRF outdoor condensing unit ACP-4 | 16.0 KW / 4.5 tons | furnished and installed complete</t>
  </si>
  <si>
    <t>Replace VRF outdoor condensing unit ACP-5 | 40.0 KW / 11.4 tons | furnished and installed complete</t>
  </si>
  <si>
    <t>Replace VRF outdoor condensing unit ACP-6 | 14.0 KW / 4.0 tons | furnished and installed complete</t>
  </si>
  <si>
    <t>Replace mini-split condensing unit ACP-7 | 2.2 KW / 0.6 tons | standalone; furnished and installed complete with startup</t>
  </si>
  <si>
    <t>Replace indoor VRF fan coil units ACP-3 zone | 14 EA ducted cassette type | mixed 2.2/2.0/2.8 KW | furnished and installed complete</t>
  </si>
  <si>
    <t>RS Means D3050; qty and capacity confirmed ACP schedule 07 Mar 2026</t>
  </si>
  <si>
    <t>Replace indoor VRF fan coil units ACP-4 zone | 3 EA ducted cassette type | mixed 3.6/3.6/1.5 KW | furnished and installed complete</t>
  </si>
  <si>
    <t>Replace indoor VRF fan coil units ACP-5 zone | 4 EA ducted cassette type | mixed 4.5/4.4/6.0/11.2 KW | furnished and installed complete</t>
  </si>
  <si>
    <t>Replace indoor VRF fan coil units ACP-6 zone | 3 EA ducted cassette type | mixed 2.8/2.8/1.45 KW | furnished and installed complete</t>
  </si>
  <si>
    <t>Refrigerant piping | line sets | insulation | fittings | pressure testing | all 7 ACP systems complete</t>
  </si>
  <si>
    <t>LS</t>
  </si>
  <si>
    <t>UFC 3-410-01; includes all branch piping to indoor fan coil units</t>
  </si>
  <si>
    <t>Electrical disconnects and dedicated circuit connections for 7 outdoor ACP condensing units</t>
  </si>
  <si>
    <t>UFC 3-520-01; one disconnect and connection set per outdoor ACP unit</t>
  </si>
  <si>
    <t>Redesign air pull infrastructure | supply/return vents | fan power boxes | door louvers | 1F and 2F complete</t>
  </si>
  <si>
    <t>UFC 3-410-01; site survey confirms air pull redesign required throughout building</t>
  </si>
  <si>
    <t>Install new split unit HVAC | 1F and 2F hallways | 2 EA | capacity per designer load calculation</t>
  </si>
  <si>
    <t>RS Means D3030; UFC 3-410-01; new hallway coverage both floors</t>
  </si>
  <si>
    <t>Replace ACP-1 100% outside air packaged unit | RM123 Mechanical Room 3 | serves main shop areas | furnished and installed complete with refrigerant lines, electrical, controls, and startup</t>
  </si>
  <si>
    <t>RS Means D3060; 100% OA packaged unit; UFC 3-410-01; ASHRAE 62.1; AS-BUILT mech drawings confirmed</t>
  </si>
  <si>
    <t>Replace ACP-4-3 outside air processing unit | RM104 Office 1 | furnished and installed complete</t>
  </si>
  <si>
    <t>RS Means D3060; outside air processing unit; UFC 3-410-01; location confirmed AS-BUILT mech drawings</t>
  </si>
  <si>
    <t>Replace ACP-5-4 outside air processing unit | RM207 Class Room | furnished and installed complete</t>
  </si>
  <si>
    <t>RS Means D3060; UFC 3-410-01; location confirmed AS-BUILT mech drawings</t>
  </si>
  <si>
    <t>Replace ACP-6-3 outside air processing unit | RM116 Office 2 | furnished and installed complete</t>
  </si>
  <si>
    <t>Existing supply ductwork evaluation and replacement as required | all 4 DOAS systems | designer to confirm reuse vs. replacement per field assessment</t>
  </si>
  <si>
    <t>UFC 3-410-01; ASHRAE 62.1; ductwork shown in AS-BUILT drawings; reuse determination by designer</t>
  </si>
  <si>
    <t>Replace general exhaust fans building-wide | 22 EA | FE-1,7,9,10,11,15,16,17 (restroom/shower/janitor) | FE-2,3,4 (storage/recycle) | FE-5,6,12 (shop) | FE-18,19,20,21,FS-1 (mechanical/battery/boiler) | FE-22,33,34 (bay/roof) | furnished and installed complete | designer evaluates duct reuse per room</t>
  </si>
  <si>
    <t>RS Means D3090; UFC 3-410-01; 2010 vintage approaching EOL; quantities confirmed from mechanical equipment schedule FE-1 through FS-1</t>
  </si>
  <si>
    <t>Replace vehicle exhaust hose reel assemblies | 10 EA total | FE-23 through FE-28 in RM105 Maintenance Bay (6 EA) | FE-29 through FE-32 in RM113 Maintenance Bay (4 EA) | fan, reel assembly, and branch duct replacement complete | main exhaust header evaluation included</t>
  </si>
  <si>
    <t>RS Means D3090; vehicle exhaust capture systems; UFC 3-410-01; quantities and locations confirmed from AS-BUILT mechanical drawings</t>
  </si>
  <si>
    <t>Full removal of abandoned dust collection system RM114 Wood Shop | exterior DC unit | wall penetration | all internal ductwork | 4 equipment connection points (miter saw, band saw, table saw, radial saw/sander) | debris disposal complete</t>
  </si>
  <si>
    <t>RS Means D3090 demolition; UFC 3-410-01; full system extent confirmed from AS-BUILT mechanical drawings</t>
  </si>
  <si>
    <t>Repair and restore RM117 Welding Shop exhaust system | replace exhaust fans FE-13 and FE-14 | replace roof ventilator FA-1 | repair/replace welding exhaust hood and all associated ductwork | system originally designed for welding operations and has fallen into disrepair</t>
  </si>
  <si>
    <t>RS Means D3090; UFC 3-410-01; system fully shown in AS-BUILT drawings as active design; confirmed repair required 19 Mar 2026</t>
  </si>
  <si>
    <t>Battery room RM102 ventilation and conditioning upgrade | extend multizone split system to meet temperature requirements | upgrade existing wall exhaust fan FE-20 to code-compliant interlocked exhaust for hydrogen gas control | no existing hood or ductwork present</t>
  </si>
  <si>
    <t>RS Means D3090/D5030; OSHA 1910.178(g); UFC 3-520-01; existing FE-20 wall propeller fan confirmed from AS-BUILT drawings; no duct or hood present</t>
  </si>
  <si>
    <t>RS Means D3090; system extent and layout confirmed from AS-BUILT compressed air plan drawings; repair as necessary</t>
  </si>
  <si>
    <t>Plmb</t>
  </si>
  <si>
    <t>Replace emergency eyewash and shower stations building-wide | replace 4 EA E-2 eyewash stations (2x RM102 Battery Room, 2x RM105 Maintenance Bay) | replace 1 EA E-1 combo shower/eyewash in RM102 | add 2 emergency shower stations at RM105 locations currently equipped with eyewash only | all per ANSI Z358.1 distance requirements</t>
  </si>
  <si>
    <t>RS Means D2010; ANSI Z358.1; UFC 3-420-01; fixture locations and types confirmed from AS-BUILT plumbing drawings</t>
  </si>
  <si>
    <t>Replace 2F electric water cooler | RM214 corridor | EW-1 fixture tag | furnished and installed complete</t>
  </si>
  <si>
    <t>RS Means D2020; UFC 3-420-01; fixture location confirmed from AS-BUILT plumbing drawings</t>
  </si>
  <si>
    <t>Arch</t>
  </si>
  <si>
    <t>Inspect and repair overhead roll-up doors | 22 EA total | RM105 (6 front, 6 rear) | RM113 (3 front, 3 rear) | wing rooms 101-104 (1 EA each, 4 total) | check springs, cables, operators, seals, and tracks | repair as necessary | all 2010 vintage</t>
  </si>
  <si>
    <t>RS Means G2050; 2010 vintage exterior vehicle bay doors; quantity and locations confirmed from AS-BUILT drawings; UNIFORMAT B2030 Exterior Doors</t>
  </si>
  <si>
    <t>Elect</t>
  </si>
  <si>
    <t>Replace high bay fixtures | F-8-322-PH26 (4 EA pipe pendant) | F-11-321-PH26 (2 EA wall) | F-16-321-PH26 (15 EA recessed) | F-16-322-PH26 (1 EA recessed) | L-2-J13-16 (18 EA recessed) | L-0-J13-10 (2 EA pendant) | F-20-ST1FRF22P-C (2 EA recessed) | F-22-SHI-FBC20-C (18 EA wall) | 62 EA total | furnished and installed</t>
  </si>
  <si>
    <t>RS Means D5020; UFC 3-530-01; fixture schedule confirmed 05 Mar 2026</t>
  </si>
  <si>
    <t>Replace 400W metal halide high bay fixtures SP3-HSR1M-400BH26 | ceiling mounted | 30 EA | lift and rigging required | furnished and installed</t>
  </si>
  <si>
    <t>Replace 400W metal halide fixtures SP-2 HSR1M-400BH26 with integrated optical sensors | 2 EA | coordinate with fire detection system prior to execution</t>
  </si>
  <si>
    <t>UFC 3-530-01; NFPA 72; fire detection system coordination required before execution</t>
  </si>
  <si>
    <t>Replace motion sensor lighting fixtures | qty and fixture type per full 1F and 2F lighting survey | includes wiring and switch leg modifications</t>
  </si>
  <si>
    <t>RS Means D5020; UFC 3-530-01; full lighting survey to be conducted during design phase</t>
  </si>
  <si>
    <t>Electrical panel work | circuit modifications | branch wiring associated with fixture replacement throughout 1F and 2F</t>
  </si>
  <si>
    <t>UFC 3-520-01; includes panel schedule updates and circuit documentation</t>
  </si>
  <si>
    <t>Comm</t>
  </si>
  <si>
    <t>Remove existing Cat5 and Cat3 cabling building-wide | 1F and 2F | includes J-boxes | patch panels | abandoned cable | complete</t>
  </si>
  <si>
    <t>UFC 3-580-01; building-wide removal required prior to new Cat6 installation</t>
  </si>
  <si>
    <t>Install Cat6 structured cabling infrastructure | 70 NIPR drops total | 40 EA CLB-4 (by room per unit-provided requirements 18 Mar 2026) | 30 EA 4th Marine Regiment (opposite side of building) | horizontal runs to 1F TR and 2F TR | Cat6 cable | EMT conduit | J-boxes | WAOs | terminations and labeling | both TRs complete</t>
  </si>
  <si>
    <t>RS Means D5030; UFC 3-580-01; TIA-568; NIPR requirements confirmed by unit 18 Mar 2026</t>
  </si>
  <si>
    <t>TR infrastructure upgrade | replace patch panel assemblies, switching hubs, and 110-blocks in both 1F TR and 2F TR | rack work | labeling | testing complete | both TRs sized to support 70-drop Cat6 infrastructure</t>
  </si>
  <si>
    <t>RS Means D5030; UFC 3-580-01; TR rack infrastructure and port density confirmed from AS-BUILT COMM drawings TR elevation details; both TRs accessed 14 Mar 2026</t>
  </si>
  <si>
    <t>Install MNS junction box and Mass Notification System infrastructure building-wide</t>
  </si>
  <si>
    <t>RS Means D5030; UFC 3-580-01; MNS scope confirmed as required</t>
  </si>
  <si>
    <t>Replace mold and mildew damaged ceiling tile | building-wide assessment | replacement as required</t>
  </si>
  <si>
    <t>SF</t>
  </si>
  <si>
    <t>RS Means C3020; UFC 3-410-01; documented mold/mildew deficiency confirmed site survey</t>
  </si>
  <si>
    <t>Repair gypsum and concrete wall damage throughout building | patch and repair | painted finish to match</t>
  </si>
  <si>
    <t>RS Means C1020; documented deficiency confirmed site survey</t>
  </si>
  <si>
    <t>Resecure anchor wire cables to exterior HVAC units | all units | hardware replacement as needed</t>
  </si>
  <si>
    <t>RS Means G2090; exterior ACP unit anchor wire cable deficiency confirmed site survey</t>
  </si>
  <si>
    <t>Deep clean all restrooms | mold and mildew remediation | surfaces, fixtures, and drain areas complete</t>
  </si>
  <si>
    <t>RS Means Z0040; documented mold/mildew remediation requirement confirmed site survey</t>
  </si>
  <si>
    <t>SCH-3270  |  COST ESTIMATE PARAMETERS  |  LEVEL 3 ROM  |  FY27  |  PAX ID 387568  |  Fi Web BU26PPE74M</t>
  </si>
  <si>
    <t>PROJECT IDENTIFICATION</t>
  </si>
  <si>
    <t>Parameter</t>
  </si>
  <si>
    <t>Value</t>
  </si>
  <si>
    <t>Source / Authority</t>
  </si>
  <si>
    <t>Estimate Title</t>
  </si>
  <si>
    <t>SCH-3270 Repair Mechanical / Electrical / Communications / Architectural</t>
  </si>
  <si>
    <t>Text</t>
  </si>
  <si>
    <t>DD Form 1391  |  PAX ID 387568  |  Fi Web BU26PPE74M</t>
  </si>
  <si>
    <t>Building / Installation</t>
  </si>
  <si>
    <t>SCH-3270  |  Camp Schwab, Okinawa, Japan</t>
  </si>
  <si>
    <t>MCIPAC G-F PPE</t>
  </si>
  <si>
    <t>Supported Units</t>
  </si>
  <si>
    <t>4th Marine Regiment  |  CLB-4</t>
  </si>
  <si>
    <t>Primary: 4th MAR REGT  |  Secondary: CLB-4</t>
  </si>
  <si>
    <t>PAX ID</t>
  </si>
  <si>
    <t>ID</t>
  </si>
  <si>
    <t>PAX System</t>
  </si>
  <si>
    <t>Fi Web Project Number</t>
  </si>
  <si>
    <t>BU26PPE74M</t>
  </si>
  <si>
    <t>Fi Web - confirmed</t>
  </si>
  <si>
    <t>Primary Project CCN</t>
  </si>
  <si>
    <t>21451</t>
  </si>
  <si>
    <t>CCN</t>
  </si>
  <si>
    <t>CCN 21451  |  Auto Organizational Shop  |  FAC 2141</t>
  </si>
  <si>
    <t>Estimate Date</t>
  </si>
  <si>
    <t>19 Mar 2026</t>
  </si>
  <si>
    <t>Date</t>
  </si>
  <si>
    <t>Date of estimate production</t>
  </si>
  <si>
    <t>Estimate Level</t>
  </si>
  <si>
    <t>Level 3 ROM</t>
  </si>
  <si>
    <t>UFS 3-740-05</t>
  </si>
  <si>
    <t>Accuracy range not cited; For Information Only</t>
  </si>
  <si>
    <t>Delivery Method</t>
  </si>
  <si>
    <t>Design-Build (DB)</t>
  </si>
  <si>
    <t>Method</t>
  </si>
  <si>
    <t>COST INPUTS  (Blue = user input)</t>
  </si>
  <si>
    <t>Base Year</t>
  </si>
  <si>
    <t>FY</t>
  </si>
  <si>
    <t>FY24 CONUS base costs</t>
  </si>
  <si>
    <t>Target Fiscal Year</t>
  </si>
  <si>
    <t>FY27 construction start</t>
  </si>
  <si>
    <t>Area Cost Factor (ACF)</t>
  </si>
  <si>
    <t>Multiplier</t>
  </si>
  <si>
    <t>UFC 3-701-01 w/Change 7 (25 Jul 2025), Table 4-1 OCONUS, M67400-0004</t>
  </si>
  <si>
    <t>Escalation Rate (annual)</t>
  </si>
  <si>
    <t>%</t>
  </si>
  <si>
    <t>OSD FY25 published rate, client-confirmed; applies FY24 through FY27</t>
  </si>
  <si>
    <t>Escalation Years</t>
  </si>
  <si>
    <t>Years</t>
  </si>
  <si>
    <t>FY24 base to FY27 target = 3 years</t>
  </si>
  <si>
    <t>General Requirements</t>
  </si>
  <si>
    <t>FSRM program-directed; UFC 3-701-01</t>
  </si>
  <si>
    <t>Contingency Rate</t>
  </si>
  <si>
    <t>Level 3 ROM - FSRM program-directed rate</t>
  </si>
  <si>
    <t>LSH Rate</t>
  </si>
  <si>
    <t>NAVFAC 11010.44E CH-1  |  MCO 11000.12 (08 Sep 2014)</t>
  </si>
  <si>
    <t>Design Rate</t>
  </si>
  <si>
    <t>NAVFAC agency-directed - 6%</t>
  </si>
  <si>
    <t>SIOH Rate</t>
  </si>
  <si>
    <t>OCONUS FSRM customer-directed rate - 8.0% (NOT standard 7.3%)</t>
  </si>
  <si>
    <t>Construction Management (CM)</t>
  </si>
  <si>
    <t>NAVFAC agency-directed - 4%</t>
  </si>
  <si>
    <t>Design-Build Design</t>
  </si>
  <si>
    <t>Applied AFTER Total Funded per UFC 3-730-01 (2024)</t>
  </si>
  <si>
    <t>AREA (GSF) AND UFC UNIT COSTS</t>
  </si>
  <si>
    <t>Total Building GSF</t>
  </si>
  <si>
    <t>iNFADS confirmed  |  Floor 1: 20,672 SF  |  Floor 2: 4,718 SF  |  CCN 21451</t>
  </si>
  <si>
    <t>RPUID</t>
  </si>
  <si>
    <t>Plant Replacement Value (PRV - iNFADS)</t>
  </si>
  <si>
    <t>$</t>
  </si>
  <si>
    <t>iNFADS RPUID 1174058  |  confirmed  |  PRV taken directly; not computed via formula for this building</t>
  </si>
  <si>
    <t>LSH Allowance (2.5% of PRV)</t>
  </si>
  <si>
    <t>PRV x 2.5%  |  MCO 11000.12 (08 Sep 2014)  |  NAVFAC 11010.44E CH-1</t>
  </si>
  <si>
    <t>PUC (FAC 2141, CCN 21451 - Vehicle Maintenance Shop)</t>
  </si>
  <si>
    <t>$/SF</t>
  </si>
  <si>
    <t>UFC 3-701-01 w/Change 7 (25 Jul 2025), Table 3, direct read  |  GUC: Military Vehicle Maintenance Small (&lt;21,000 SF)</t>
  </si>
  <si>
    <t>Formula Basis</t>
  </si>
  <si>
    <t>Compound Escalation Factor</t>
  </si>
  <si>
    <t>Factor</t>
  </si>
  <si>
    <t>(1 + 0.021)^3 = 1.0643322610  |  live formula</t>
  </si>
  <si>
    <t>JPY/USD Exchange Rate</t>
  </si>
  <si>
    <t>Rate</t>
  </si>
  <si>
    <t>CONFIRM from Federal Reserve H.10 on date of PAX submission  |  JPY column is display-only; ROM chain is USD only</t>
  </si>
  <si>
    <t>KEY NOTES</t>
  </si>
  <si>
    <t>Escalation: OSD FY25 published rate 2.1%/yr confirmed. FY26/FY27 same rate applies per client direction.</t>
  </si>
  <si>
    <t>SIOH: 8.0% is the customer-directed OCONUS FSRM rate for MCIPAC G-F. This is NOT the standard OCONUS rate of 7.3%.</t>
  </si>
  <si>
    <t>Contingency: 10% is the FSRM program-directed rate for Level 3 ROM. Authority: UFS 3-740-05 (2 Feb 2026).</t>
  </si>
  <si>
    <t>DB Design (4%) is applied AFTER Total Funded Cost per UFC 3-730-01 (2024). Delivery method: Design-Build (DB).</t>
  </si>
  <si>
    <t>PRV taken directly from iNFADS ($39,507,617  |  RPUID 1174058). LSH = $987,690. PRV not computed via UFC formula for this building. Formula cross-check documented in ESTIMATE Section F Item 11.</t>
  </si>
  <si>
    <t xml:space="preserve"> All amounts in $000s per DD Form 1391 convention. All formulas reference ESTIMATE tab. Carry to dollar; round only here.</t>
  </si>
  <si>
    <t>Cost Element</t>
  </si>
  <si>
    <t>Amount ($000s)</t>
  </si>
  <si>
    <t>Roll-up doors (B20)  |  22 EA exterior vehicle bay doors  |  2010 vintage</t>
  </si>
  <si>
    <t>Interior construction repairs (C10)  |  3 architectural scope items</t>
  </si>
  <si>
    <t>Interior finishes (C30)  |  mold/mildew ceiling tile replacement</t>
  </si>
  <si>
    <t>Plumbing (D20)  |  eyewash/shower stations + water cooler RM214</t>
  </si>
  <si>
    <t>HVAC/Mechanical (D30)  |  27 scope items  |  ACP, DOAS, exhaust, battery room, compressed air</t>
  </si>
  <si>
    <t>Electrical/Communications (D50)  |  lighting 94 fixtures  |  Cat6 70 drops  |  TR upgrades  |  MNS</t>
  </si>
  <si>
    <t>Subtotal  (Base Direct x ACF x Escalation x General Requirements)</t>
  </si>
  <si>
    <t>10% of Gen Req-applied subtotal (row 10)  |  FSRM program-directed</t>
  </si>
  <si>
    <t>PRV = $39,507,617  |  iNFADS RPUID 1174058  |  MCO 11000.12  |  NAVFAC 11010.44E CH-1</t>
  </si>
  <si>
    <t>6.0% of Construction Base  |  NAVFAC agency-directed</t>
  </si>
  <si>
    <t>8.0% of Construction Base  |  OCONUS FSRM customer-directed (NOT standard 7.3%)</t>
  </si>
  <si>
    <t>4.0% of Construction Base  |  NAVFAC agency-directed</t>
  </si>
  <si>
    <t>Construction Base + Design + SIOH + CM</t>
  </si>
  <si>
    <t>CLASSIFICATION OF WORK</t>
  </si>
  <si>
    <t xml:space="preserve">  Construction</t>
  </si>
  <si>
    <t>100% of Total Funded  |  10 U.S.C. Section 2802</t>
  </si>
  <si>
    <t xml:space="preserve">  Special Interest: Restoration and Modernization</t>
  </si>
  <si>
    <t>100% SRM  |  MCO 11000.12  |  DoD 4270.5-M</t>
  </si>
  <si>
    <t>UFC 3-730-01 (2024)  |  DB design applied after Total Funded per DD Form 1391 convention</t>
  </si>
  <si>
    <t>Total Funded + Design-Build Design</t>
  </si>
  <si>
    <t>LOCKED PARAMETERS  (DO NOT CHANGE WITHOUT DIRECTION)</t>
  </si>
  <si>
    <t xml:space="preserve">  ACF</t>
  </si>
  <si>
    <t xml:space="preserve">  Escalation</t>
  </si>
  <si>
    <t>2.1%/yr  |  FY24 to FY27  |  (1.021)^3 = 1.0643  |  OSD FY25 published rate</t>
  </si>
  <si>
    <t xml:space="preserve">  General Requirements</t>
  </si>
  <si>
    <t>10.0%  |  FSRM program-directed</t>
  </si>
  <si>
    <t xml:space="preserve">  Contingency</t>
  </si>
  <si>
    <t>10.0%  |  FSRM program-directed  |  Level 3 ROM</t>
  </si>
  <si>
    <t xml:space="preserve">  SIOH</t>
  </si>
  <si>
    <t>8.0%  |  OCONUS FSRM customer-directed (NOT standard 7.3%)</t>
  </si>
  <si>
    <t xml:space="preserve">  Design</t>
  </si>
  <si>
    <t>6.0%  |  NAVFAC agency-directed  |  applied to Construction Base</t>
  </si>
  <si>
    <t xml:space="preserve">  CM</t>
  </si>
  <si>
    <t>4.0%  |  NAVFAC agency-directed  |  applied to Construction Base</t>
  </si>
  <si>
    <t xml:space="preserve">  DB Design</t>
  </si>
  <si>
    <t>4.0%  |  Total Funded  |  applied AFTER Total Funded  |  UFC 3-730-01 (2024)</t>
  </si>
  <si>
    <t xml:space="preserve">  Delivery Method</t>
  </si>
  <si>
    <t>A.  ROM FORMULA CHAIN - UFS 3-740-05 LEVEL 3</t>
  </si>
  <si>
    <t xml:space="preserve"> Sum of all scope items - SCOPE_DETAIL tab</t>
  </si>
  <si>
    <t xml:space="preserve"> ROUND(C7 x 1.10, 0)  |  Level 3 ROM 10% contingency - FSRM program-directed</t>
  </si>
  <si>
    <t>SIOH (8.0% - OCONUS FSRM Customer-Directed)</t>
  </si>
  <si>
    <t>Design-Build Design (4.0%) - Applied AFTER Total Funded</t>
  </si>
  <si>
    <t>D.  UNIFORMAT II LEVEL 2 SUMMARY - Base Direct Cost (FY24 CONUS Pre-ACF)</t>
  </si>
  <si>
    <t xml:space="preserve"> Must equal Base Direct C4 exactly - SUMIF verification</t>
  </si>
  <si>
    <t>v9  (19 Mar 2026) - CURRENT</t>
  </si>
  <si>
    <t xml:space="preserve"> C4 x ACF 1.85 per UFC 3-701-01 w/Change 7 (25 Jul 2025), Table 4-1</t>
  </si>
  <si>
    <t>Level 3 ROM per UFS 3-740-05 (2 Feb 2026), Table 2-1. Non-mandatory supplement; For Information Only. No accuracy percentage ranges cited. Site survey Feb 2026. Mechanical scope confirmed 19 Mar 2026. Communications scope and NIPR requirements confirmed 19 Mar 2026.</t>
  </si>
  <si>
    <t>iNFADS PRV governs per UFC 3-701-01 w/Change 7 (25 Jul 2025), Section 3-2.1. Formula cross-check: FAC 2141 (Vehicle Maintenance Shop), 25,390 SF x $810/SF (UFC 3-701-01 C7 Table 3, direct read) = $20,565,900; x ACF 1.85 = $38,046,915; x combined factor (HF 1.0 x PD 1.09 x SIOH 1.08 x CF 1.05) = 1.23606; Formula PRV = $47,027,990. iNFADS PRV = $39,507,617. Delta = $7,520,373 (16.0%). Delta is consistent with PUC change cycle; iNFADS valuation predates the current C7 PUC of $810/SF for FAC 2141. Methodolgy: iNFADS-based LSH = $987,690; formula-based LSH = $1,175,700; delta = $188,010; iNFADS governs. GSF: iNFADS 25,390 SF governs. BUILDER records 24,529 SF (861 SF delta). Delta reflects BUILDER net modeled interior footprint vs. iNFADS gross architectural footprint established at asset capitalization. SIOH 8.0% is the FSRM program adder applied to Construction Base; it is separate from and independent of the SIOH factor (1.08) within Equation 3-1 for PRV computation.</t>
  </si>
  <si>
    <t>Anthony L. Potter  |  Facilities Professional  |  MCIPAC G-F PPE  |  19 Mar 2026</t>
  </si>
  <si>
    <t>See Section E above. Current version (v9) Total Funded references live formula =C18. v8 (07 Mar 2026): Total Funded $2,374,358 - initial mechanical scope (ACP units, lighting, telecom). v9 (19 Mar 2026) CURRENT: full mechanical discipline scope added 19 Mar 2026 including DOAS, exhaust systems (22 fans + 10 hose reels), welding exhaust restore, battery room ventilation, compressed air, plumbing, roll-up doors (22 EA), NIPR drops (70 EA), MNS, and architectural items.</t>
  </si>
  <si>
    <t xml:space="preserve">Compressed air system inspection, pressure testing, and repair as necessary | COM-1 compressor and air receiver in RM119 Mechanical Room 1 | full distribution loop through RM105, RM113, and shops RM101-104 | column-mounted air outlet drops throughout </t>
  </si>
  <si>
    <t>1.  MECHANICAL - HVAC ACP SYSTEM REPLACEMENT - 7 Outdoor Units + 24 Indoor Fan Coils + Infrastructure</t>
  </si>
  <si>
    <t>2.  MECHANICAL - DOAS FRESH AIR SYSTEMS - 4 Units + Ductwork Evaluation</t>
  </si>
  <si>
    <t>3.  MECHANICAL - EXHAUST SYSTEMS - 22 General Fans + 10 Hose Reels + Welding Exhaust Restore + RM114 Removal</t>
  </si>
  <si>
    <t>4.  MECHANICAL - BATTERY ROOM - RM102 Ventilation and Conditioning Upgrade</t>
  </si>
  <si>
    <t>5.  MECHANICAL - COMPRESSED AIR - RM119 System Inspection and Repair</t>
  </si>
  <si>
    <t>6.  PLUMBING - Safety Stations and Fixtures</t>
  </si>
  <si>
    <t>7.  EXTERIOR DOORS - Roll-Up Door Inspection and Repair</t>
  </si>
  <si>
    <t>8.  ELECTRICAL - LIGHTING REPLACEMENT - 94 Confirmed Fixtures + Motion Sensors</t>
  </si>
  <si>
    <t>9.  COMMUNICATIONS - Cat6 NIPR Infrastructure + MNS - 70 Drops + Both TRs</t>
  </si>
  <si>
    <t>10.  ARCHITECTURAL - Interior Repairs and Remediation</t>
  </si>
  <si>
    <t>iNFADS  |  Camp Schwab  |  CCN 21451  |  authoritative per DoW real property records</t>
  </si>
  <si>
    <t>1.  Exterior Doors - Roll-up door inspection and repair (22 EA)</t>
  </si>
  <si>
    <t>2.  Interior Construction - Wall repair, anchor wire cables, restroom remediation</t>
  </si>
  <si>
    <t>3.  Interior Finishes - Ceiling tile replacement (2,500 SF)</t>
  </si>
  <si>
    <t>4.  Plumbing - Emergency safety stations and 2F water cooler</t>
  </si>
  <si>
    <t>5.  Mechanical HVAC - ACP replacement, DOAS, exhaust systems, battery room, compressed air</t>
  </si>
  <si>
    <t>6.  Electrical / Communications - Lighting, Cat6 NIPR drops, TR upgrades, MNS</t>
  </si>
  <si>
    <t>From ESTIMATE tab C7 - pre-contingency subtotal</t>
  </si>
  <si>
    <t>Contingency (10.0%) - Level 3 ROM, FSRM Program-Directed</t>
  </si>
  <si>
    <t>Life Safety and Health (LSH) - 2.5% of PRV</t>
  </si>
  <si>
    <t>Design (6.0%) - Applied to Construction Base</t>
  </si>
  <si>
    <t>SIOH (8.0%) - OCONUS FSRM Customer-Directed Rate</t>
  </si>
  <si>
    <t>1.85 - Camp Schwab per UFC 3-701-01 w/Change 7 (25 Jul 2025), Table 4-1, M67400-0004</t>
  </si>
  <si>
    <t>DERIVED VALUES  (Formula-driven - do not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</si>
</sst>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\$#,##0.00"/>
    <numFmt numFmtId="166" formatCode="0.0%"/>
    <numFmt numFmtId="167" formatCode="0.0000000000"/>
    <numFmt numFmtId="168" formatCode="#,##0.000"/>
  </numFmts>
  <fonts count="11" x14ac:knownFonts="1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9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9"/>
      <color rgb="FFFFFFFF"/>
      <name val="Calibri"/>
      <charset val="1"/>
    </font>
    <font>
      <sz val="10"/>
      <color rgb="FF0070C0"/>
      <name val="Calibri"/>
      <charset val="1"/>
    </font>
    <font>
      <b/>
      <sz val="9"/>
      <color rgb="FFFFFF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A7A"/>
        <bgColor rgb="FF1B2A4A"/>
      </patternFill>
    </fill>
    <fill>
      <patternFill patternType="solid">
        <fgColor rgb="FFBDD7EE"/>
        <bgColor rgb="FFD9E1EC"/>
      </patternFill>
    </fill>
    <fill>
      <patternFill patternType="solid">
        <fgColor rgb="FFD9E1EC"/>
        <bgColor rgb="FFE2EFDA"/>
      </patternFill>
    </fill>
    <fill>
      <patternFill patternType="solid">
        <fgColor rgb="FFE2EFDA"/>
        <bgColor rgb="FFD9E1EC"/>
      </patternFill>
    </fill>
    <fill>
      <patternFill patternType="solid">
        <fgColor rgb="FFEBF5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5" borderId="1" xfId="0" applyFill="1" applyBorder="1" applyAlignment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0" fillId="4" borderId="1" xfId="0" applyFill="1" applyBorder="1" applyAlignment="1"/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/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0" fillId="0" borderId="1" xfId="0" applyBorder="1" applyAlignment="1"/>
    <xf numFmtId="0" fontId="0" fillId="6" borderId="1" xfId="0" applyFill="1" applyBorder="1" applyAlignment="1"/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3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3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0" fillId="4" borderId="1" xfId="0" applyFill="1" applyBorder="1" applyAlignment="1"/>
    <xf numFmtId="0" fontId="2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EC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showGridLines="0" tabSelected="1" zoomScaleNormal="100" workbookViewId="0">
      <pane ySplit="1" topLeftCell="A2" activePane="bottomLeft" state="frozen"/>
      <selection pane="bottomLeft" activeCell="D38" sqref="D38"/>
    </sheetView>
  </sheetViews>
  <sheetFormatPr defaultColWidth="8.7109375" defaultRowHeight="15" x14ac:dyDescent="0.25"/>
  <cols>
    <col min="1" max="1" width="5" style="1" customWidth="1"/>
    <col min="2" max="2" width="44.42578125" style="1" bestFit="1" customWidth="1"/>
    <col min="3" max="3" width="18" style="40" customWidth="1"/>
    <col min="4" max="4" width="133.140625" style="1" customWidth="1"/>
  </cols>
  <sheetData>
    <row r="1" spans="1:4" ht="19.5" customHeight="1" x14ac:dyDescent="0.25">
      <c r="A1" s="54" t="s">
        <v>0</v>
      </c>
      <c r="B1" s="54"/>
      <c r="C1" s="54"/>
      <c r="D1" s="54"/>
    </row>
    <row r="2" spans="1:4" ht="15" customHeight="1" x14ac:dyDescent="0.25">
      <c r="A2" s="53" t="s">
        <v>313</v>
      </c>
      <c r="B2" s="53"/>
      <c r="C2" s="53"/>
      <c r="D2" s="53"/>
    </row>
    <row r="3" spans="1:4" ht="15" customHeight="1" x14ac:dyDescent="0.25">
      <c r="A3" s="2"/>
      <c r="B3" s="2" t="s">
        <v>1</v>
      </c>
      <c r="C3" s="2" t="s">
        <v>2</v>
      </c>
      <c r="D3" s="2" t="s">
        <v>3</v>
      </c>
    </row>
    <row r="4" spans="1:4" ht="15" customHeight="1" x14ac:dyDescent="0.25">
      <c r="A4" s="3" t="s">
        <v>4</v>
      </c>
      <c r="B4" s="4" t="s">
        <v>5</v>
      </c>
      <c r="C4" s="34">
        <f>SCOPE_DETAIL!G67</f>
        <v>792000</v>
      </c>
      <c r="D4" s="5" t="s">
        <v>314</v>
      </c>
    </row>
    <row r="5" spans="1:4" ht="15" customHeight="1" x14ac:dyDescent="0.25">
      <c r="A5" s="3" t="s">
        <v>6</v>
      </c>
      <c r="B5" s="4" t="s">
        <v>7</v>
      </c>
      <c r="C5" s="34">
        <f>C4*PARAMETERS!B18</f>
        <v>1465200</v>
      </c>
      <c r="D5" s="5" t="s">
        <v>321</v>
      </c>
    </row>
    <row r="6" spans="1:4" ht="15" customHeight="1" x14ac:dyDescent="0.25">
      <c r="A6" s="3" t="s">
        <v>8</v>
      </c>
      <c r="B6" s="4" t="s">
        <v>9</v>
      </c>
      <c r="C6" s="34">
        <f>C5*PARAMETERS!B39</f>
        <v>1559459.6288171995</v>
      </c>
      <c r="D6" s="5" t="s">
        <v>10</v>
      </c>
    </row>
    <row r="7" spans="1:4" ht="15" customHeight="1" x14ac:dyDescent="0.25">
      <c r="A7" s="3" t="s">
        <v>11</v>
      </c>
      <c r="B7" s="4" t="s">
        <v>12</v>
      </c>
      <c r="C7" s="34">
        <f>C6*(1+PARAMETERS!B21)</f>
        <v>1715405.5916989197</v>
      </c>
      <c r="D7" s="5" t="s">
        <v>13</v>
      </c>
    </row>
    <row r="8" spans="1:4" ht="15" customHeight="1" x14ac:dyDescent="0.25">
      <c r="A8" s="3" t="s">
        <v>14</v>
      </c>
      <c r="B8" s="4" t="s">
        <v>15</v>
      </c>
      <c r="C8" s="34">
        <f>ROUND(C7*(1+PARAMETERS!B22),0)</f>
        <v>1886946</v>
      </c>
      <c r="D8" s="5" t="s">
        <v>315</v>
      </c>
    </row>
    <row r="9" spans="1:4" ht="15" customHeight="1" x14ac:dyDescent="0.25">
      <c r="A9" s="3" t="s">
        <v>16</v>
      </c>
      <c r="B9" s="4" t="s">
        <v>17</v>
      </c>
      <c r="C9" s="34">
        <f>PARAMETERS!B34</f>
        <v>987690</v>
      </c>
      <c r="D9" s="5" t="s">
        <v>18</v>
      </c>
    </row>
    <row r="10" spans="1:4" ht="15" customHeight="1" x14ac:dyDescent="0.25">
      <c r="A10" s="6"/>
      <c r="B10" s="7" t="s">
        <v>19</v>
      </c>
      <c r="C10" s="35">
        <f>C8+C9</f>
        <v>2874636</v>
      </c>
      <c r="D10" s="8" t="s">
        <v>20</v>
      </c>
    </row>
    <row r="12" spans="1:4" ht="15" customHeight="1" x14ac:dyDescent="0.25">
      <c r="A12" s="53" t="s">
        <v>21</v>
      </c>
      <c r="B12" s="53"/>
      <c r="C12" s="53"/>
      <c r="D12" s="53"/>
    </row>
    <row r="13" spans="1:4" ht="15" customHeight="1" x14ac:dyDescent="0.25">
      <c r="A13" s="2"/>
      <c r="B13" s="2" t="s">
        <v>1</v>
      </c>
      <c r="C13" s="2" t="s">
        <v>2</v>
      </c>
      <c r="D13" s="2" t="s">
        <v>3</v>
      </c>
    </row>
    <row r="14" spans="1:4" ht="15" customHeight="1" x14ac:dyDescent="0.25">
      <c r="A14" s="3"/>
      <c r="B14" s="4" t="s">
        <v>22</v>
      </c>
      <c r="C14" s="34">
        <f>C10*PARAMETERS!B24</f>
        <v>172478.16</v>
      </c>
      <c r="D14" s="5" t="s">
        <v>23</v>
      </c>
    </row>
    <row r="15" spans="1:4" ht="15" customHeight="1" x14ac:dyDescent="0.25">
      <c r="A15" s="3"/>
      <c r="B15" s="4" t="s">
        <v>316</v>
      </c>
      <c r="C15" s="34">
        <f>C10*PARAMETERS!B25</f>
        <v>229970.88</v>
      </c>
      <c r="D15" s="5" t="s">
        <v>24</v>
      </c>
    </row>
    <row r="16" spans="1:4" ht="15" customHeight="1" x14ac:dyDescent="0.25">
      <c r="A16" s="3"/>
      <c r="B16" s="4" t="s">
        <v>25</v>
      </c>
      <c r="C16" s="34">
        <f>C10*PARAMETERS!B26</f>
        <v>114985.44</v>
      </c>
      <c r="D16" s="5" t="s">
        <v>26</v>
      </c>
    </row>
    <row r="18" spans="1:4" ht="16.5" customHeight="1" x14ac:dyDescent="0.25">
      <c r="A18" s="9"/>
      <c r="B18" s="10" t="s">
        <v>27</v>
      </c>
      <c r="C18" s="36">
        <f>ROUND(C10+C14+C15+C16,0)</f>
        <v>3392070</v>
      </c>
      <c r="D18" s="11" t="s">
        <v>28</v>
      </c>
    </row>
    <row r="19" spans="1:4" ht="25.5" x14ac:dyDescent="0.25">
      <c r="A19" s="3"/>
      <c r="B19" s="4" t="s">
        <v>317</v>
      </c>
      <c r="C19" s="34">
        <f>C18*PARAMETERS!B27</f>
        <v>135682.79999999999</v>
      </c>
      <c r="D19" s="5" t="s">
        <v>29</v>
      </c>
    </row>
    <row r="20" spans="1:4" ht="16.5" customHeight="1" x14ac:dyDescent="0.25">
      <c r="A20" s="12"/>
      <c r="B20" s="13" t="s">
        <v>30</v>
      </c>
      <c r="C20" s="37">
        <f>C18+C19</f>
        <v>3527752.8</v>
      </c>
      <c r="D20" s="14" t="s">
        <v>31</v>
      </c>
    </row>
    <row r="22" spans="1:4" ht="15" customHeight="1" x14ac:dyDescent="0.25">
      <c r="A22" s="53" t="s">
        <v>32</v>
      </c>
      <c r="B22" s="53"/>
      <c r="C22" s="53"/>
      <c r="D22" s="53"/>
    </row>
    <row r="23" spans="1:4" ht="15" customHeight="1" x14ac:dyDescent="0.25">
      <c r="A23" s="2"/>
      <c r="B23" s="2" t="s">
        <v>33</v>
      </c>
      <c r="C23" s="2" t="s">
        <v>2</v>
      </c>
      <c r="D23" s="2" t="s">
        <v>34</v>
      </c>
    </row>
    <row r="24" spans="1:4" ht="15" customHeight="1" x14ac:dyDescent="0.25">
      <c r="A24" s="3"/>
      <c r="B24" s="4" t="s">
        <v>35</v>
      </c>
      <c r="C24" s="38">
        <f>C18/PARAMETERS!B31</f>
        <v>133.59866089011422</v>
      </c>
      <c r="D24" s="5" t="s">
        <v>36</v>
      </c>
    </row>
    <row r="26" spans="1:4" ht="15" customHeight="1" x14ac:dyDescent="0.25">
      <c r="A26" s="53" t="s">
        <v>318</v>
      </c>
      <c r="B26" s="53"/>
      <c r="C26" s="53"/>
      <c r="D26" s="53"/>
    </row>
    <row r="27" spans="1:4" ht="15" customHeight="1" x14ac:dyDescent="0.25">
      <c r="A27" s="2" t="s">
        <v>37</v>
      </c>
      <c r="B27" s="2" t="s">
        <v>38</v>
      </c>
      <c r="C27" s="2" t="s">
        <v>39</v>
      </c>
      <c r="D27" s="2" t="s">
        <v>40</v>
      </c>
    </row>
    <row r="28" spans="1:4" ht="15" customHeight="1" x14ac:dyDescent="0.25">
      <c r="A28" s="15" t="s">
        <v>41</v>
      </c>
      <c r="B28" s="4" t="s">
        <v>42</v>
      </c>
      <c r="C28" s="34">
        <f>SUMIF(SCOPE_DETAIL!H:H,"B20",SCOPE_DETAIL!G:G)</f>
        <v>22000</v>
      </c>
      <c r="D28" s="5" t="s">
        <v>43</v>
      </c>
    </row>
    <row r="29" spans="1:4" ht="15" customHeight="1" x14ac:dyDescent="0.25">
      <c r="A29" s="15" t="s">
        <v>44</v>
      </c>
      <c r="B29" s="4" t="s">
        <v>45</v>
      </c>
      <c r="C29" s="34">
        <f>SUMIF(SCOPE_DETAIL!H:H,"C10",SCOPE_DETAIL!G:G)</f>
        <v>43000</v>
      </c>
      <c r="D29" s="5" t="s">
        <v>46</v>
      </c>
    </row>
    <row r="30" spans="1:4" ht="15" customHeight="1" x14ac:dyDescent="0.25">
      <c r="A30" s="15" t="s">
        <v>47</v>
      </c>
      <c r="B30" s="4" t="s">
        <v>48</v>
      </c>
      <c r="C30" s="34">
        <f>SUMIF(SCOPE_DETAIL!H:H,"C30",SCOPE_DETAIL!G:G)</f>
        <v>17500</v>
      </c>
      <c r="D30" s="5" t="s">
        <v>49</v>
      </c>
    </row>
    <row r="31" spans="1:4" ht="15" customHeight="1" x14ac:dyDescent="0.25">
      <c r="A31" s="15" t="s">
        <v>50</v>
      </c>
      <c r="B31" s="4" t="s">
        <v>51</v>
      </c>
      <c r="C31" s="34">
        <f>SUMIF(SCOPE_DETAIL!H:H,"D20",SCOPE_DETAIL!G:G)</f>
        <v>18800</v>
      </c>
      <c r="D31" s="5" t="s">
        <v>52</v>
      </c>
    </row>
    <row r="32" spans="1:4" ht="24" x14ac:dyDescent="0.25">
      <c r="A32" s="15" t="s">
        <v>53</v>
      </c>
      <c r="B32" s="4" t="s">
        <v>54</v>
      </c>
      <c r="C32" s="34">
        <f>SUMIF(SCOPE_DETAIL!H:H,"D30",SCOPE_DETAIL!G:G)</f>
        <v>504800</v>
      </c>
      <c r="D32" s="5" t="s">
        <v>55</v>
      </c>
    </row>
    <row r="33" spans="1:4" ht="15" customHeight="1" x14ac:dyDescent="0.25">
      <c r="A33" s="15" t="s">
        <v>56</v>
      </c>
      <c r="B33" s="4" t="s">
        <v>57</v>
      </c>
      <c r="C33" s="34">
        <f>SUMIF(SCOPE_DETAIL!H:H,"D50",SCOPE_DETAIL!G:G)</f>
        <v>185900</v>
      </c>
      <c r="D33" s="5" t="s">
        <v>58</v>
      </c>
    </row>
    <row r="34" spans="1:4" ht="15" customHeight="1" x14ac:dyDescent="0.25">
      <c r="A34" s="9"/>
      <c r="B34" s="16" t="s">
        <v>59</v>
      </c>
      <c r="C34" s="39">
        <f>SUM(C28:C33)</f>
        <v>792000</v>
      </c>
      <c r="D34" s="11" t="s">
        <v>319</v>
      </c>
    </row>
    <row r="36" spans="1:4" ht="15" customHeight="1" x14ac:dyDescent="0.25">
      <c r="A36" s="53" t="s">
        <v>60</v>
      </c>
      <c r="B36" s="53"/>
      <c r="C36" s="53"/>
      <c r="D36" s="53"/>
    </row>
    <row r="37" spans="1:4" ht="15" customHeight="1" x14ac:dyDescent="0.25">
      <c r="A37" s="2"/>
      <c r="B37" s="2" t="s">
        <v>61</v>
      </c>
      <c r="C37" s="2" t="s">
        <v>62</v>
      </c>
      <c r="D37" s="2" t="s">
        <v>63</v>
      </c>
    </row>
    <row r="38" spans="1:4" x14ac:dyDescent="0.25">
      <c r="A38" s="17"/>
      <c r="B38" s="4" t="s">
        <v>64</v>
      </c>
      <c r="C38" s="34">
        <v>2374358</v>
      </c>
      <c r="D38" s="5" t="s">
        <v>65</v>
      </c>
    </row>
    <row r="39" spans="1:4" ht="24" x14ac:dyDescent="0.25">
      <c r="A39" s="18"/>
      <c r="B39" s="19" t="s">
        <v>320</v>
      </c>
      <c r="C39" s="41">
        <f>C18</f>
        <v>3392070</v>
      </c>
      <c r="D39" s="20" t="s">
        <v>66</v>
      </c>
    </row>
    <row r="40" spans="1:4" x14ac:dyDescent="0.25">
      <c r="A40" s="17"/>
      <c r="B40" s="21" t="s">
        <v>67</v>
      </c>
      <c r="C40" s="34">
        <f>C39-C38</f>
        <v>1017712</v>
      </c>
      <c r="D40" s="5" t="s">
        <v>68</v>
      </c>
    </row>
    <row r="42" spans="1:4" ht="15" customHeight="1" x14ac:dyDescent="0.25">
      <c r="A42" s="53" t="s">
        <v>69</v>
      </c>
      <c r="B42" s="53"/>
      <c r="C42" s="53"/>
      <c r="D42" s="53"/>
    </row>
    <row r="43" spans="1:4" x14ac:dyDescent="0.25">
      <c r="A43" s="17"/>
      <c r="B43" s="22" t="s">
        <v>70</v>
      </c>
      <c r="C43" s="52" t="s">
        <v>322</v>
      </c>
      <c r="D43" s="52"/>
    </row>
    <row r="44" spans="1:4" ht="50.25" customHeight="1" x14ac:dyDescent="0.25">
      <c r="A44" s="17"/>
      <c r="B44" s="22" t="s">
        <v>71</v>
      </c>
      <c r="C44" s="52" t="s">
        <v>72</v>
      </c>
      <c r="D44" s="52"/>
    </row>
    <row r="45" spans="1:4" x14ac:dyDescent="0.25">
      <c r="A45" s="17"/>
      <c r="B45" s="22" t="s">
        <v>73</v>
      </c>
      <c r="C45" s="52" t="s">
        <v>74</v>
      </c>
      <c r="D45" s="52"/>
    </row>
    <row r="46" spans="1:4" x14ac:dyDescent="0.25">
      <c r="A46" s="17"/>
      <c r="B46" s="22" t="s">
        <v>75</v>
      </c>
      <c r="C46" s="52" t="s">
        <v>76</v>
      </c>
      <c r="D46" s="52"/>
    </row>
    <row r="47" spans="1:4" x14ac:dyDescent="0.25">
      <c r="A47" s="17"/>
      <c r="B47" s="22" t="s">
        <v>77</v>
      </c>
      <c r="C47" s="52" t="s">
        <v>78</v>
      </c>
      <c r="D47" s="52"/>
    </row>
    <row r="48" spans="1:4" x14ac:dyDescent="0.25">
      <c r="A48" s="17"/>
      <c r="B48" s="22" t="s">
        <v>79</v>
      </c>
      <c r="C48" s="52" t="s">
        <v>80</v>
      </c>
      <c r="D48" s="52"/>
    </row>
    <row r="49" spans="1:4" ht="27" customHeight="1" x14ac:dyDescent="0.25">
      <c r="A49" s="17"/>
      <c r="B49" s="22" t="s">
        <v>81</v>
      </c>
      <c r="C49" s="52" t="s">
        <v>82</v>
      </c>
      <c r="D49" s="52"/>
    </row>
    <row r="50" spans="1:4" ht="27" customHeight="1" x14ac:dyDescent="0.25">
      <c r="A50" s="17"/>
      <c r="B50" s="22" t="s">
        <v>83</v>
      </c>
      <c r="C50" s="52" t="s">
        <v>84</v>
      </c>
      <c r="D50" s="52"/>
    </row>
    <row r="51" spans="1:4" ht="51" customHeight="1" x14ac:dyDescent="0.25">
      <c r="A51" s="17"/>
      <c r="B51" s="22" t="s">
        <v>85</v>
      </c>
      <c r="C51" s="52" t="s">
        <v>86</v>
      </c>
      <c r="D51" s="52"/>
    </row>
    <row r="52" spans="1:4" x14ac:dyDescent="0.25">
      <c r="A52" s="17"/>
      <c r="B52" s="22" t="s">
        <v>87</v>
      </c>
      <c r="C52" s="52" t="s">
        <v>88</v>
      </c>
      <c r="D52" s="52"/>
    </row>
    <row r="53" spans="1:4" ht="73.5" customHeight="1" x14ac:dyDescent="0.25">
      <c r="A53" s="17"/>
      <c r="B53" s="22" t="s">
        <v>89</v>
      </c>
      <c r="C53" s="52" t="s">
        <v>323</v>
      </c>
      <c r="D53" s="52"/>
    </row>
    <row r="54" spans="1:4" x14ac:dyDescent="0.25">
      <c r="A54" s="17"/>
      <c r="B54" s="22" t="s">
        <v>90</v>
      </c>
      <c r="C54" s="52" t="s">
        <v>324</v>
      </c>
      <c r="D54" s="52"/>
    </row>
    <row r="55" spans="1:4" ht="41.25" customHeight="1" x14ac:dyDescent="0.25">
      <c r="A55" s="17"/>
      <c r="B55" s="22" t="s">
        <v>91</v>
      </c>
      <c r="C55" s="52" t="s">
        <v>325</v>
      </c>
      <c r="D55" s="52"/>
    </row>
  </sheetData>
  <mergeCells count="20">
    <mergeCell ref="A1:D1"/>
    <mergeCell ref="A2:D2"/>
    <mergeCell ref="A12:D12"/>
    <mergeCell ref="A22:D22"/>
    <mergeCell ref="A26:D26"/>
    <mergeCell ref="A36:D36"/>
    <mergeCell ref="A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&amp;L_x000D_&amp;1#&amp;"Calibri"&amp;10&amp;K000000 DISTRIBUTION: DoW COMMUNITY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showGridLines="0" topLeftCell="A38" zoomScaleNormal="100" workbookViewId="0">
      <selection activeCell="I58" sqref="I58"/>
    </sheetView>
  </sheetViews>
  <sheetFormatPr defaultColWidth="8.7109375" defaultRowHeight="15" x14ac:dyDescent="0.25"/>
  <cols>
    <col min="1" max="1" width="6" style="1" customWidth="1"/>
    <col min="2" max="2" width="10" style="1" customWidth="1"/>
    <col min="3" max="3" width="52" style="1" customWidth="1"/>
    <col min="4" max="5" width="7" style="1" customWidth="1"/>
    <col min="6" max="7" width="13" style="42" customWidth="1"/>
    <col min="8" max="8" width="11" style="1" customWidth="1"/>
    <col min="9" max="9" width="38" style="1" customWidth="1"/>
  </cols>
  <sheetData>
    <row r="1" spans="1:9" ht="19.5" customHeight="1" x14ac:dyDescent="0.25">
      <c r="A1" s="54" t="s">
        <v>92</v>
      </c>
      <c r="B1" s="54"/>
      <c r="C1" s="54"/>
      <c r="D1" s="54"/>
      <c r="E1" s="54"/>
      <c r="F1" s="54"/>
      <c r="G1" s="54"/>
      <c r="H1" s="54"/>
      <c r="I1" s="54"/>
    </row>
    <row r="2" spans="1:9" ht="12.75" customHeight="1" x14ac:dyDescent="0.25">
      <c r="A2" s="57" t="s">
        <v>93</v>
      </c>
      <c r="B2" s="57"/>
      <c r="C2" s="57"/>
      <c r="D2" s="57"/>
      <c r="E2" s="57"/>
      <c r="F2" s="57"/>
      <c r="G2" s="57"/>
      <c r="H2" s="57"/>
      <c r="I2" s="57"/>
    </row>
    <row r="3" spans="1:9" ht="27.75" customHeight="1" x14ac:dyDescent="0.25">
      <c r="A3" s="2" t="s">
        <v>33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</row>
    <row r="4" spans="1:9" ht="15" customHeight="1" x14ac:dyDescent="0.25">
      <c r="A4" s="53" t="s">
        <v>327</v>
      </c>
      <c r="B4" s="53"/>
      <c r="C4" s="53"/>
      <c r="D4" s="53"/>
      <c r="E4" s="53"/>
      <c r="F4" s="53"/>
      <c r="G4" s="53"/>
      <c r="H4" s="53"/>
      <c r="I4" s="53"/>
    </row>
    <row r="5" spans="1:9" ht="36" x14ac:dyDescent="0.25">
      <c r="A5" s="3">
        <v>1</v>
      </c>
      <c r="B5" s="23" t="s">
        <v>102</v>
      </c>
      <c r="C5" s="5" t="s">
        <v>103</v>
      </c>
      <c r="D5" s="24">
        <v>1</v>
      </c>
      <c r="E5" s="25" t="s">
        <v>104</v>
      </c>
      <c r="F5" s="44">
        <v>23500</v>
      </c>
      <c r="G5" s="34">
        <f t="shared" ref="G5:G19" si="0">D5*F5</f>
        <v>23500</v>
      </c>
      <c r="H5" s="3" t="s">
        <v>53</v>
      </c>
      <c r="I5" s="5" t="s">
        <v>105</v>
      </c>
    </row>
    <row r="6" spans="1:9" ht="24" x14ac:dyDescent="0.25">
      <c r="A6" s="3">
        <v>2</v>
      </c>
      <c r="B6" s="23" t="s">
        <v>102</v>
      </c>
      <c r="C6" s="5" t="s">
        <v>106</v>
      </c>
      <c r="D6" s="24">
        <v>1</v>
      </c>
      <c r="E6" s="25" t="s">
        <v>104</v>
      </c>
      <c r="F6" s="44">
        <v>14500</v>
      </c>
      <c r="G6" s="34">
        <f t="shared" si="0"/>
        <v>14500</v>
      </c>
      <c r="H6" s="3" t="s">
        <v>53</v>
      </c>
      <c r="I6" s="5" t="s">
        <v>107</v>
      </c>
    </row>
    <row r="7" spans="1:9" ht="24" x14ac:dyDescent="0.25">
      <c r="A7" s="3">
        <v>3</v>
      </c>
      <c r="B7" s="23" t="s">
        <v>102</v>
      </c>
      <c r="C7" s="5" t="s">
        <v>108</v>
      </c>
      <c r="D7" s="24">
        <v>1</v>
      </c>
      <c r="E7" s="25" t="s">
        <v>104</v>
      </c>
      <c r="F7" s="44">
        <v>19500</v>
      </c>
      <c r="G7" s="34">
        <f t="shared" si="0"/>
        <v>19500</v>
      </c>
      <c r="H7" s="3" t="s">
        <v>53</v>
      </c>
      <c r="I7" s="5" t="s">
        <v>107</v>
      </c>
    </row>
    <row r="8" spans="1:9" ht="24" x14ac:dyDescent="0.25">
      <c r="A8" s="3">
        <v>4</v>
      </c>
      <c r="B8" s="23" t="s">
        <v>102</v>
      </c>
      <c r="C8" s="5" t="s">
        <v>109</v>
      </c>
      <c r="D8" s="24">
        <v>1</v>
      </c>
      <c r="E8" s="25" t="s">
        <v>104</v>
      </c>
      <c r="F8" s="44">
        <v>10000</v>
      </c>
      <c r="G8" s="34">
        <f t="shared" si="0"/>
        <v>10000</v>
      </c>
      <c r="H8" s="3" t="s">
        <v>53</v>
      </c>
      <c r="I8" s="5" t="s">
        <v>107</v>
      </c>
    </row>
    <row r="9" spans="1:9" ht="24" x14ac:dyDescent="0.25">
      <c r="A9" s="3">
        <v>5</v>
      </c>
      <c r="B9" s="23" t="s">
        <v>102</v>
      </c>
      <c r="C9" s="5" t="s">
        <v>110</v>
      </c>
      <c r="D9" s="24">
        <v>1</v>
      </c>
      <c r="E9" s="25" t="s">
        <v>104</v>
      </c>
      <c r="F9" s="44">
        <v>19500</v>
      </c>
      <c r="G9" s="34">
        <f t="shared" si="0"/>
        <v>19500</v>
      </c>
      <c r="H9" s="3" t="s">
        <v>53</v>
      </c>
      <c r="I9" s="5" t="s">
        <v>107</v>
      </c>
    </row>
    <row r="10" spans="1:9" ht="24" x14ac:dyDescent="0.25">
      <c r="A10" s="3">
        <v>6</v>
      </c>
      <c r="B10" s="23" t="s">
        <v>102</v>
      </c>
      <c r="C10" s="5" t="s">
        <v>111</v>
      </c>
      <c r="D10" s="24">
        <v>1</v>
      </c>
      <c r="E10" s="25" t="s">
        <v>104</v>
      </c>
      <c r="F10" s="44">
        <v>9500</v>
      </c>
      <c r="G10" s="34">
        <f t="shared" si="0"/>
        <v>9500</v>
      </c>
      <c r="H10" s="3" t="s">
        <v>53</v>
      </c>
      <c r="I10" s="5" t="s">
        <v>107</v>
      </c>
    </row>
    <row r="11" spans="1:9" ht="24" x14ac:dyDescent="0.25">
      <c r="A11" s="3">
        <v>7</v>
      </c>
      <c r="B11" s="23" t="s">
        <v>102</v>
      </c>
      <c r="C11" s="5" t="s">
        <v>112</v>
      </c>
      <c r="D11" s="24">
        <v>1</v>
      </c>
      <c r="E11" s="25" t="s">
        <v>104</v>
      </c>
      <c r="F11" s="44">
        <v>3500</v>
      </c>
      <c r="G11" s="34">
        <f t="shared" si="0"/>
        <v>3500</v>
      </c>
      <c r="H11" s="3" t="s">
        <v>53</v>
      </c>
      <c r="I11" s="5" t="s">
        <v>107</v>
      </c>
    </row>
    <row r="12" spans="1:9" ht="36" x14ac:dyDescent="0.25">
      <c r="A12" s="3">
        <v>8</v>
      </c>
      <c r="B12" s="23" t="s">
        <v>102</v>
      </c>
      <c r="C12" s="5" t="s">
        <v>113</v>
      </c>
      <c r="D12" s="24">
        <v>14</v>
      </c>
      <c r="E12" s="25" t="s">
        <v>104</v>
      </c>
      <c r="F12" s="44">
        <v>2800</v>
      </c>
      <c r="G12" s="34">
        <f t="shared" si="0"/>
        <v>39200</v>
      </c>
      <c r="H12" s="3" t="s">
        <v>53</v>
      </c>
      <c r="I12" s="5" t="s">
        <v>114</v>
      </c>
    </row>
    <row r="13" spans="1:9" ht="36" x14ac:dyDescent="0.25">
      <c r="A13" s="3">
        <v>9</v>
      </c>
      <c r="B13" s="23" t="s">
        <v>102</v>
      </c>
      <c r="C13" s="5" t="s">
        <v>115</v>
      </c>
      <c r="D13" s="24">
        <v>3</v>
      </c>
      <c r="E13" s="25" t="s">
        <v>104</v>
      </c>
      <c r="F13" s="44">
        <v>2800</v>
      </c>
      <c r="G13" s="34">
        <f t="shared" si="0"/>
        <v>8400</v>
      </c>
      <c r="H13" s="3" t="s">
        <v>53</v>
      </c>
      <c r="I13" s="5" t="s">
        <v>114</v>
      </c>
    </row>
    <row r="14" spans="1:9" ht="36" x14ac:dyDescent="0.25">
      <c r="A14" s="3">
        <v>10</v>
      </c>
      <c r="B14" s="23" t="s">
        <v>102</v>
      </c>
      <c r="C14" s="5" t="s">
        <v>116</v>
      </c>
      <c r="D14" s="24">
        <v>4</v>
      </c>
      <c r="E14" s="25" t="s">
        <v>104</v>
      </c>
      <c r="F14" s="44">
        <v>2800</v>
      </c>
      <c r="G14" s="34">
        <f t="shared" si="0"/>
        <v>11200</v>
      </c>
      <c r="H14" s="3" t="s">
        <v>53</v>
      </c>
      <c r="I14" s="5" t="s">
        <v>114</v>
      </c>
    </row>
    <row r="15" spans="1:9" ht="36" x14ac:dyDescent="0.25">
      <c r="A15" s="3">
        <v>11</v>
      </c>
      <c r="B15" s="23" t="s">
        <v>102</v>
      </c>
      <c r="C15" s="5" t="s">
        <v>117</v>
      </c>
      <c r="D15" s="24">
        <v>3</v>
      </c>
      <c r="E15" s="25" t="s">
        <v>104</v>
      </c>
      <c r="F15" s="44">
        <v>2800</v>
      </c>
      <c r="G15" s="34">
        <f t="shared" si="0"/>
        <v>8400</v>
      </c>
      <c r="H15" s="3" t="s">
        <v>53</v>
      </c>
      <c r="I15" s="5" t="s">
        <v>114</v>
      </c>
    </row>
    <row r="16" spans="1:9" ht="24" x14ac:dyDescent="0.25">
      <c r="A16" s="3">
        <v>12</v>
      </c>
      <c r="B16" s="23" t="s">
        <v>102</v>
      </c>
      <c r="C16" s="5" t="s">
        <v>118</v>
      </c>
      <c r="D16" s="24">
        <v>1</v>
      </c>
      <c r="E16" s="25" t="s">
        <v>119</v>
      </c>
      <c r="F16" s="44">
        <v>20000</v>
      </c>
      <c r="G16" s="34">
        <f t="shared" si="0"/>
        <v>20000</v>
      </c>
      <c r="H16" s="3" t="s">
        <v>53</v>
      </c>
      <c r="I16" s="5" t="s">
        <v>120</v>
      </c>
    </row>
    <row r="17" spans="1:9" ht="24" x14ac:dyDescent="0.25">
      <c r="A17" s="3">
        <v>13</v>
      </c>
      <c r="B17" s="23" t="s">
        <v>102</v>
      </c>
      <c r="C17" s="5" t="s">
        <v>121</v>
      </c>
      <c r="D17" s="24">
        <v>7</v>
      </c>
      <c r="E17" s="25" t="s">
        <v>104</v>
      </c>
      <c r="F17" s="44">
        <v>1800</v>
      </c>
      <c r="G17" s="34">
        <f t="shared" si="0"/>
        <v>12600</v>
      </c>
      <c r="H17" s="3" t="s">
        <v>53</v>
      </c>
      <c r="I17" s="5" t="s">
        <v>122</v>
      </c>
    </row>
    <row r="18" spans="1:9" ht="24" x14ac:dyDescent="0.25">
      <c r="A18" s="3">
        <v>14</v>
      </c>
      <c r="B18" s="23" t="s">
        <v>102</v>
      </c>
      <c r="C18" s="5" t="s">
        <v>123</v>
      </c>
      <c r="D18" s="24">
        <v>1</v>
      </c>
      <c r="E18" s="25" t="s">
        <v>119</v>
      </c>
      <c r="F18" s="44">
        <v>18000</v>
      </c>
      <c r="G18" s="34">
        <f t="shared" si="0"/>
        <v>18000</v>
      </c>
      <c r="H18" s="3" t="s">
        <v>53</v>
      </c>
      <c r="I18" s="5" t="s">
        <v>124</v>
      </c>
    </row>
    <row r="19" spans="1:9" ht="24" x14ac:dyDescent="0.25">
      <c r="A19" s="3">
        <v>15</v>
      </c>
      <c r="B19" s="23" t="s">
        <v>102</v>
      </c>
      <c r="C19" s="5" t="s">
        <v>125</v>
      </c>
      <c r="D19" s="24">
        <v>2</v>
      </c>
      <c r="E19" s="25" t="s">
        <v>104</v>
      </c>
      <c r="F19" s="44">
        <v>12000</v>
      </c>
      <c r="G19" s="34">
        <f t="shared" si="0"/>
        <v>24000</v>
      </c>
      <c r="H19" s="3" t="s">
        <v>53</v>
      </c>
      <c r="I19" s="5" t="s">
        <v>126</v>
      </c>
    </row>
    <row r="20" spans="1:9" ht="15" customHeight="1" x14ac:dyDescent="0.25">
      <c r="A20" s="55"/>
      <c r="B20" s="55"/>
      <c r="C20" s="55"/>
      <c r="D20" s="55"/>
      <c r="E20" s="55"/>
      <c r="F20" s="55"/>
      <c r="G20" s="39">
        <f>SUM(G5:G19)</f>
        <v>241800</v>
      </c>
      <c r="H20" s="9"/>
      <c r="I20" s="9"/>
    </row>
    <row r="21" spans="1:9" ht="15" customHeight="1" x14ac:dyDescent="0.25">
      <c r="A21" s="53" t="s">
        <v>328</v>
      </c>
      <c r="B21" s="53"/>
      <c r="C21" s="53"/>
      <c r="D21" s="53"/>
      <c r="E21" s="53"/>
      <c r="F21" s="53"/>
      <c r="G21" s="53"/>
      <c r="H21" s="53"/>
      <c r="I21" s="53"/>
    </row>
    <row r="22" spans="1:9" ht="48" x14ac:dyDescent="0.25">
      <c r="A22" s="3">
        <v>16</v>
      </c>
      <c r="B22" s="23" t="s">
        <v>102</v>
      </c>
      <c r="C22" s="5" t="s">
        <v>127</v>
      </c>
      <c r="D22" s="24">
        <v>1</v>
      </c>
      <c r="E22" s="25" t="s">
        <v>104</v>
      </c>
      <c r="F22" s="44">
        <v>38000</v>
      </c>
      <c r="G22" s="34">
        <f>D22*F22</f>
        <v>38000</v>
      </c>
      <c r="H22" s="3" t="s">
        <v>53</v>
      </c>
      <c r="I22" s="5" t="s">
        <v>128</v>
      </c>
    </row>
    <row r="23" spans="1:9" ht="36" x14ac:dyDescent="0.25">
      <c r="A23" s="3">
        <v>17</v>
      </c>
      <c r="B23" s="23" t="s">
        <v>102</v>
      </c>
      <c r="C23" s="5" t="s">
        <v>129</v>
      </c>
      <c r="D23" s="24">
        <v>1</v>
      </c>
      <c r="E23" s="25" t="s">
        <v>104</v>
      </c>
      <c r="F23" s="44">
        <v>16000</v>
      </c>
      <c r="G23" s="34">
        <f>D23*F23</f>
        <v>16000</v>
      </c>
      <c r="H23" s="3" t="s">
        <v>53</v>
      </c>
      <c r="I23" s="5" t="s">
        <v>130</v>
      </c>
    </row>
    <row r="24" spans="1:9" ht="24" x14ac:dyDescent="0.25">
      <c r="A24" s="3">
        <v>18</v>
      </c>
      <c r="B24" s="23" t="s">
        <v>102</v>
      </c>
      <c r="C24" s="5" t="s">
        <v>131</v>
      </c>
      <c r="D24" s="24">
        <v>1</v>
      </c>
      <c r="E24" s="25" t="s">
        <v>104</v>
      </c>
      <c r="F24" s="44">
        <v>16000</v>
      </c>
      <c r="G24" s="34">
        <f>D24*F24</f>
        <v>16000</v>
      </c>
      <c r="H24" s="3" t="s">
        <v>53</v>
      </c>
      <c r="I24" s="5" t="s">
        <v>132</v>
      </c>
    </row>
    <row r="25" spans="1:9" ht="24" x14ac:dyDescent="0.25">
      <c r="A25" s="3">
        <v>19</v>
      </c>
      <c r="B25" s="23" t="s">
        <v>102</v>
      </c>
      <c r="C25" s="5" t="s">
        <v>133</v>
      </c>
      <c r="D25" s="24">
        <v>1</v>
      </c>
      <c r="E25" s="25" t="s">
        <v>104</v>
      </c>
      <c r="F25" s="44">
        <v>16000</v>
      </c>
      <c r="G25" s="34">
        <f>D25*F25</f>
        <v>16000</v>
      </c>
      <c r="H25" s="3" t="s">
        <v>53</v>
      </c>
      <c r="I25" s="5" t="s">
        <v>132</v>
      </c>
    </row>
    <row r="26" spans="1:9" ht="36" x14ac:dyDescent="0.25">
      <c r="A26" s="3">
        <v>20</v>
      </c>
      <c r="B26" s="23" t="s">
        <v>102</v>
      </c>
      <c r="C26" s="5" t="s">
        <v>134</v>
      </c>
      <c r="D26" s="24">
        <v>1</v>
      </c>
      <c r="E26" s="25" t="s">
        <v>119</v>
      </c>
      <c r="F26" s="44">
        <v>18000</v>
      </c>
      <c r="G26" s="34">
        <f>D26*F26</f>
        <v>18000</v>
      </c>
      <c r="H26" s="3" t="s">
        <v>53</v>
      </c>
      <c r="I26" s="5" t="s">
        <v>135</v>
      </c>
    </row>
    <row r="27" spans="1:9" ht="15" customHeight="1" x14ac:dyDescent="0.25">
      <c r="A27" s="55"/>
      <c r="B27" s="55"/>
      <c r="C27" s="55"/>
      <c r="D27" s="55"/>
      <c r="E27" s="55"/>
      <c r="F27" s="55"/>
      <c r="G27" s="39">
        <f>SUM(G22:G26)</f>
        <v>104000</v>
      </c>
      <c r="H27" s="9"/>
      <c r="I27" s="9"/>
    </row>
    <row r="28" spans="1:9" ht="15" customHeight="1" x14ac:dyDescent="0.25">
      <c r="A28" s="53" t="s">
        <v>329</v>
      </c>
      <c r="B28" s="53"/>
      <c r="C28" s="53"/>
      <c r="D28" s="53"/>
      <c r="E28" s="53"/>
      <c r="F28" s="53"/>
      <c r="G28" s="53"/>
      <c r="H28" s="53"/>
      <c r="I28" s="53"/>
    </row>
    <row r="29" spans="1:9" ht="72" customHeight="1" x14ac:dyDescent="0.25">
      <c r="A29" s="3">
        <v>21</v>
      </c>
      <c r="B29" s="23" t="s">
        <v>102</v>
      </c>
      <c r="C29" s="5" t="s">
        <v>136</v>
      </c>
      <c r="D29" s="24">
        <v>22</v>
      </c>
      <c r="E29" s="25" t="s">
        <v>104</v>
      </c>
      <c r="F29" s="44">
        <v>3000</v>
      </c>
      <c r="G29" s="34">
        <f>D29*F29</f>
        <v>66000</v>
      </c>
      <c r="H29" s="3" t="s">
        <v>53</v>
      </c>
      <c r="I29" s="5" t="s">
        <v>137</v>
      </c>
    </row>
    <row r="30" spans="1:9" ht="69.75" customHeight="1" x14ac:dyDescent="0.25">
      <c r="A30" s="3">
        <v>22</v>
      </c>
      <c r="B30" s="23" t="s">
        <v>102</v>
      </c>
      <c r="C30" s="5" t="s">
        <v>138</v>
      </c>
      <c r="D30" s="24">
        <v>10</v>
      </c>
      <c r="E30" s="25" t="s">
        <v>104</v>
      </c>
      <c r="F30" s="44">
        <v>5000</v>
      </c>
      <c r="G30" s="34">
        <f>D30*F30</f>
        <v>50000</v>
      </c>
      <c r="H30" s="3" t="s">
        <v>53</v>
      </c>
      <c r="I30" s="5" t="s">
        <v>139</v>
      </c>
    </row>
    <row r="31" spans="1:9" ht="57.75" customHeight="1" x14ac:dyDescent="0.25">
      <c r="A31" s="3">
        <v>23</v>
      </c>
      <c r="B31" s="23" t="s">
        <v>102</v>
      </c>
      <c r="C31" s="5" t="s">
        <v>140</v>
      </c>
      <c r="D31" s="24">
        <v>1</v>
      </c>
      <c r="E31" s="25" t="s">
        <v>119</v>
      </c>
      <c r="F31" s="44">
        <v>8500</v>
      </c>
      <c r="G31" s="34">
        <f>D31*F31</f>
        <v>8500</v>
      </c>
      <c r="H31" s="3" t="s">
        <v>53</v>
      </c>
      <c r="I31" s="5" t="s">
        <v>141</v>
      </c>
    </row>
    <row r="32" spans="1:9" ht="63.75" customHeight="1" x14ac:dyDescent="0.25">
      <c r="A32" s="3">
        <v>24</v>
      </c>
      <c r="B32" s="23" t="s">
        <v>102</v>
      </c>
      <c r="C32" s="5" t="s">
        <v>142</v>
      </c>
      <c r="D32" s="24">
        <v>1</v>
      </c>
      <c r="E32" s="25" t="s">
        <v>119</v>
      </c>
      <c r="F32" s="44">
        <v>14000</v>
      </c>
      <c r="G32" s="34">
        <f>D32*F32</f>
        <v>14000</v>
      </c>
      <c r="H32" s="3" t="s">
        <v>53</v>
      </c>
      <c r="I32" s="5" t="s">
        <v>143</v>
      </c>
    </row>
    <row r="33" spans="1:9" ht="15" customHeight="1" x14ac:dyDescent="0.25">
      <c r="A33" s="55"/>
      <c r="B33" s="55"/>
      <c r="C33" s="55"/>
      <c r="D33" s="55"/>
      <c r="E33" s="55"/>
      <c r="F33" s="55"/>
      <c r="G33" s="39">
        <f>SUM(G29:G32)</f>
        <v>138500</v>
      </c>
      <c r="H33" s="9"/>
      <c r="I33" s="9"/>
    </row>
    <row r="34" spans="1:9" ht="15" customHeight="1" x14ac:dyDescent="0.25">
      <c r="A34" s="53" t="s">
        <v>330</v>
      </c>
      <c r="B34" s="53"/>
      <c r="C34" s="53"/>
      <c r="D34" s="53"/>
      <c r="E34" s="53"/>
      <c r="F34" s="53"/>
      <c r="G34" s="53"/>
      <c r="H34" s="53"/>
      <c r="I34" s="53"/>
    </row>
    <row r="35" spans="1:9" ht="61.5" customHeight="1" x14ac:dyDescent="0.25">
      <c r="A35" s="3">
        <v>25</v>
      </c>
      <c r="B35" s="23" t="s">
        <v>102</v>
      </c>
      <c r="C35" s="5" t="s">
        <v>144</v>
      </c>
      <c r="D35" s="24">
        <v>1</v>
      </c>
      <c r="E35" s="25" t="s">
        <v>119</v>
      </c>
      <c r="F35" s="44">
        <v>12000</v>
      </c>
      <c r="G35" s="34">
        <f>D35*F35</f>
        <v>12000</v>
      </c>
      <c r="H35" s="3" t="s">
        <v>53</v>
      </c>
      <c r="I35" s="5" t="s">
        <v>145</v>
      </c>
    </row>
    <row r="36" spans="1:9" ht="15" customHeight="1" x14ac:dyDescent="0.25">
      <c r="A36" s="55"/>
      <c r="B36" s="55"/>
      <c r="C36" s="55"/>
      <c r="D36" s="55"/>
      <c r="E36" s="55"/>
      <c r="F36" s="55"/>
      <c r="G36" s="39">
        <f>SUM(G35:G35)</f>
        <v>12000</v>
      </c>
      <c r="H36" s="9"/>
      <c r="I36" s="9"/>
    </row>
    <row r="37" spans="1:9" ht="15" customHeight="1" x14ac:dyDescent="0.25">
      <c r="A37" s="53" t="s">
        <v>331</v>
      </c>
      <c r="B37" s="53"/>
      <c r="C37" s="53"/>
      <c r="D37" s="53"/>
      <c r="E37" s="53"/>
      <c r="F37" s="53"/>
      <c r="G37" s="53"/>
      <c r="H37" s="53"/>
      <c r="I37" s="53"/>
    </row>
    <row r="38" spans="1:9" ht="66" customHeight="1" x14ac:dyDescent="0.25">
      <c r="A38" s="3">
        <v>26</v>
      </c>
      <c r="B38" s="23" t="s">
        <v>102</v>
      </c>
      <c r="C38" s="5" t="s">
        <v>326</v>
      </c>
      <c r="D38" s="24">
        <v>1</v>
      </c>
      <c r="E38" s="25" t="s">
        <v>119</v>
      </c>
      <c r="F38" s="44">
        <v>8500</v>
      </c>
      <c r="G38" s="34">
        <f>D38*F38</f>
        <v>8500</v>
      </c>
      <c r="H38" s="3" t="s">
        <v>53</v>
      </c>
      <c r="I38" s="5" t="s">
        <v>146</v>
      </c>
    </row>
    <row r="39" spans="1:9" ht="15" customHeight="1" x14ac:dyDescent="0.25">
      <c r="A39" s="55"/>
      <c r="B39" s="55"/>
      <c r="C39" s="55"/>
      <c r="D39" s="55"/>
      <c r="E39" s="55"/>
      <c r="F39" s="55"/>
      <c r="G39" s="39">
        <f>SUM(G38:G38)</f>
        <v>8500</v>
      </c>
      <c r="H39" s="9"/>
      <c r="I39" s="9"/>
    </row>
    <row r="40" spans="1:9" ht="15" customHeight="1" x14ac:dyDescent="0.25">
      <c r="A40" s="53" t="s">
        <v>332</v>
      </c>
      <c r="B40" s="53"/>
      <c r="C40" s="53"/>
      <c r="D40" s="53"/>
      <c r="E40" s="53"/>
      <c r="F40" s="53"/>
      <c r="G40" s="53"/>
      <c r="H40" s="53"/>
      <c r="I40" s="53"/>
    </row>
    <row r="41" spans="1:9" ht="72" customHeight="1" x14ac:dyDescent="0.25">
      <c r="A41" s="3">
        <v>27</v>
      </c>
      <c r="B41" s="23" t="s">
        <v>147</v>
      </c>
      <c r="C41" s="5" t="s">
        <v>148</v>
      </c>
      <c r="D41" s="24">
        <v>1</v>
      </c>
      <c r="E41" s="25" t="s">
        <v>119</v>
      </c>
      <c r="F41" s="44">
        <v>16000</v>
      </c>
      <c r="G41" s="34">
        <f>D41*F41</f>
        <v>16000</v>
      </c>
      <c r="H41" s="3" t="s">
        <v>50</v>
      </c>
      <c r="I41" s="5" t="s">
        <v>149</v>
      </c>
    </row>
    <row r="42" spans="1:9" ht="45" customHeight="1" x14ac:dyDescent="0.25">
      <c r="A42" s="3">
        <v>28</v>
      </c>
      <c r="B42" s="23" t="s">
        <v>147</v>
      </c>
      <c r="C42" s="5" t="s">
        <v>150</v>
      </c>
      <c r="D42" s="24">
        <v>1</v>
      </c>
      <c r="E42" s="25" t="s">
        <v>104</v>
      </c>
      <c r="F42" s="44">
        <v>2800</v>
      </c>
      <c r="G42" s="34">
        <f>D42*F42</f>
        <v>2800</v>
      </c>
      <c r="H42" s="3" t="s">
        <v>50</v>
      </c>
      <c r="I42" s="5" t="s">
        <v>151</v>
      </c>
    </row>
    <row r="43" spans="1:9" ht="15" customHeight="1" x14ac:dyDescent="0.25">
      <c r="A43" s="55"/>
      <c r="B43" s="55"/>
      <c r="C43" s="55"/>
      <c r="D43" s="55"/>
      <c r="E43" s="55"/>
      <c r="F43" s="55"/>
      <c r="G43" s="39">
        <f>SUM(G41:G42)</f>
        <v>18800</v>
      </c>
      <c r="H43" s="9"/>
      <c r="I43" s="9"/>
    </row>
    <row r="44" spans="1:9" ht="15" customHeight="1" x14ac:dyDescent="0.25">
      <c r="A44" s="53" t="s">
        <v>333</v>
      </c>
      <c r="B44" s="53"/>
      <c r="C44" s="53"/>
      <c r="D44" s="53"/>
      <c r="E44" s="53"/>
      <c r="F44" s="53"/>
      <c r="G44" s="53"/>
      <c r="H44" s="53"/>
      <c r="I44" s="53"/>
    </row>
    <row r="45" spans="1:9" ht="53.25" customHeight="1" x14ac:dyDescent="0.25">
      <c r="A45" s="3">
        <v>29</v>
      </c>
      <c r="B45" s="23" t="s">
        <v>152</v>
      </c>
      <c r="C45" s="5" t="s">
        <v>153</v>
      </c>
      <c r="D45" s="24">
        <v>22</v>
      </c>
      <c r="E45" s="25" t="s">
        <v>104</v>
      </c>
      <c r="F45" s="44">
        <v>1000</v>
      </c>
      <c r="G45" s="34">
        <f>D45*F45</f>
        <v>22000</v>
      </c>
      <c r="H45" s="3" t="s">
        <v>41</v>
      </c>
      <c r="I45" s="5" t="s">
        <v>154</v>
      </c>
    </row>
    <row r="46" spans="1:9" ht="15" customHeight="1" x14ac:dyDescent="0.25">
      <c r="A46" s="55"/>
      <c r="B46" s="55"/>
      <c r="C46" s="55"/>
      <c r="D46" s="55"/>
      <c r="E46" s="55"/>
      <c r="F46" s="55"/>
      <c r="G46" s="39">
        <f>SUM(G45:G45)</f>
        <v>22000</v>
      </c>
      <c r="H46" s="9"/>
      <c r="I46" s="9"/>
    </row>
    <row r="47" spans="1:9" ht="15" customHeight="1" x14ac:dyDescent="0.25">
      <c r="A47" s="53" t="s">
        <v>334</v>
      </c>
      <c r="B47" s="53"/>
      <c r="C47" s="53"/>
      <c r="D47" s="53"/>
      <c r="E47" s="53"/>
      <c r="F47" s="53"/>
      <c r="G47" s="53"/>
      <c r="H47" s="53"/>
      <c r="I47" s="53"/>
    </row>
    <row r="48" spans="1:9" ht="62.25" customHeight="1" x14ac:dyDescent="0.25">
      <c r="A48" s="3">
        <v>30</v>
      </c>
      <c r="B48" s="23" t="s">
        <v>155</v>
      </c>
      <c r="C48" s="5" t="s">
        <v>156</v>
      </c>
      <c r="D48" s="24">
        <v>62</v>
      </c>
      <c r="E48" s="25" t="s">
        <v>104</v>
      </c>
      <c r="F48" s="44">
        <v>650</v>
      </c>
      <c r="G48" s="34">
        <f>D48*F48</f>
        <v>40300</v>
      </c>
      <c r="H48" s="3" t="s">
        <v>56</v>
      </c>
      <c r="I48" s="5" t="s">
        <v>157</v>
      </c>
    </row>
    <row r="49" spans="1:9" ht="45" customHeight="1" x14ac:dyDescent="0.25">
      <c r="A49" s="3">
        <v>31</v>
      </c>
      <c r="B49" s="23" t="s">
        <v>155</v>
      </c>
      <c r="C49" s="5" t="s">
        <v>158</v>
      </c>
      <c r="D49" s="24">
        <v>30</v>
      </c>
      <c r="E49" s="25" t="s">
        <v>104</v>
      </c>
      <c r="F49" s="44">
        <v>1800</v>
      </c>
      <c r="G49" s="34">
        <f>D49*F49</f>
        <v>54000</v>
      </c>
      <c r="H49" s="3" t="s">
        <v>56</v>
      </c>
      <c r="I49" s="5" t="s">
        <v>157</v>
      </c>
    </row>
    <row r="50" spans="1:9" ht="45" customHeight="1" x14ac:dyDescent="0.25">
      <c r="A50" s="3">
        <v>32</v>
      </c>
      <c r="B50" s="23" t="s">
        <v>155</v>
      </c>
      <c r="C50" s="5" t="s">
        <v>159</v>
      </c>
      <c r="D50" s="24">
        <v>2</v>
      </c>
      <c r="E50" s="25" t="s">
        <v>104</v>
      </c>
      <c r="F50" s="44">
        <v>3200</v>
      </c>
      <c r="G50" s="34">
        <f>D50*F50</f>
        <v>6400</v>
      </c>
      <c r="H50" s="3" t="s">
        <v>56</v>
      </c>
      <c r="I50" s="5" t="s">
        <v>160</v>
      </c>
    </row>
    <row r="51" spans="1:9" ht="45" customHeight="1" x14ac:dyDescent="0.25">
      <c r="A51" s="3">
        <v>33</v>
      </c>
      <c r="B51" s="23" t="s">
        <v>155</v>
      </c>
      <c r="C51" s="5" t="s">
        <v>161</v>
      </c>
      <c r="D51" s="24">
        <v>1</v>
      </c>
      <c r="E51" s="25" t="s">
        <v>119</v>
      </c>
      <c r="F51" s="44">
        <v>14000</v>
      </c>
      <c r="G51" s="34">
        <f>D51*F51</f>
        <v>14000</v>
      </c>
      <c r="H51" s="3" t="s">
        <v>56</v>
      </c>
      <c r="I51" s="5" t="s">
        <v>162</v>
      </c>
    </row>
    <row r="52" spans="1:9" ht="45" customHeight="1" x14ac:dyDescent="0.25">
      <c r="A52" s="3">
        <v>34</v>
      </c>
      <c r="B52" s="23" t="s">
        <v>155</v>
      </c>
      <c r="C52" s="5" t="s">
        <v>163</v>
      </c>
      <c r="D52" s="24">
        <v>1</v>
      </c>
      <c r="E52" s="25" t="s">
        <v>119</v>
      </c>
      <c r="F52" s="44">
        <v>10000</v>
      </c>
      <c r="G52" s="34">
        <f>D52*F52</f>
        <v>10000</v>
      </c>
      <c r="H52" s="3" t="s">
        <v>56</v>
      </c>
      <c r="I52" s="5" t="s">
        <v>164</v>
      </c>
    </row>
    <row r="53" spans="1:9" ht="15" customHeight="1" x14ac:dyDescent="0.25">
      <c r="A53" s="55"/>
      <c r="B53" s="55"/>
      <c r="C53" s="55"/>
      <c r="D53" s="55"/>
      <c r="E53" s="55"/>
      <c r="F53" s="55"/>
      <c r="G53" s="39">
        <f>SUM(G48:G52)</f>
        <v>124700</v>
      </c>
      <c r="H53" s="9"/>
      <c r="I53" s="9"/>
    </row>
    <row r="54" spans="1:9" ht="15" customHeight="1" x14ac:dyDescent="0.25">
      <c r="A54" s="53" t="s">
        <v>335</v>
      </c>
      <c r="B54" s="53"/>
      <c r="C54" s="53"/>
      <c r="D54" s="53"/>
      <c r="E54" s="53"/>
      <c r="F54" s="53"/>
      <c r="G54" s="53"/>
      <c r="H54" s="53"/>
      <c r="I54" s="53"/>
    </row>
    <row r="55" spans="1:9" ht="36" x14ac:dyDescent="0.25">
      <c r="A55" s="3">
        <v>35</v>
      </c>
      <c r="B55" s="23" t="s">
        <v>165</v>
      </c>
      <c r="C55" s="5" t="s">
        <v>166</v>
      </c>
      <c r="D55" s="24">
        <v>1</v>
      </c>
      <c r="E55" s="25" t="s">
        <v>119</v>
      </c>
      <c r="F55" s="44">
        <v>7500</v>
      </c>
      <c r="G55" s="34">
        <f>D55*F55</f>
        <v>7500</v>
      </c>
      <c r="H55" s="3" t="s">
        <v>56</v>
      </c>
      <c r="I55" s="5" t="s">
        <v>167</v>
      </c>
    </row>
    <row r="56" spans="1:9" ht="66" customHeight="1" x14ac:dyDescent="0.25">
      <c r="A56" s="3">
        <v>36</v>
      </c>
      <c r="B56" s="23" t="s">
        <v>165</v>
      </c>
      <c r="C56" s="5" t="s">
        <v>168</v>
      </c>
      <c r="D56" s="24">
        <v>70</v>
      </c>
      <c r="E56" s="25" t="s">
        <v>104</v>
      </c>
      <c r="F56" s="44">
        <v>210</v>
      </c>
      <c r="G56" s="34">
        <f>D56*F56</f>
        <v>14700</v>
      </c>
      <c r="H56" s="3" t="s">
        <v>56</v>
      </c>
      <c r="I56" s="5" t="s">
        <v>169</v>
      </c>
    </row>
    <row r="57" spans="1:9" ht="54" customHeight="1" x14ac:dyDescent="0.25">
      <c r="A57" s="3">
        <v>37</v>
      </c>
      <c r="B57" s="23" t="s">
        <v>165</v>
      </c>
      <c r="C57" s="5" t="s">
        <v>170</v>
      </c>
      <c r="D57" s="24">
        <v>2</v>
      </c>
      <c r="E57" s="25" t="s">
        <v>104</v>
      </c>
      <c r="F57" s="44">
        <v>8500</v>
      </c>
      <c r="G57" s="34">
        <f>D57*F57</f>
        <v>17000</v>
      </c>
      <c r="H57" s="3" t="s">
        <v>56</v>
      </c>
      <c r="I57" s="5" t="s">
        <v>171</v>
      </c>
    </row>
    <row r="58" spans="1:9" ht="32.25" customHeight="1" x14ac:dyDescent="0.25">
      <c r="A58" s="3">
        <v>38</v>
      </c>
      <c r="B58" s="23" t="s">
        <v>165</v>
      </c>
      <c r="C58" s="5" t="s">
        <v>172</v>
      </c>
      <c r="D58" s="24">
        <v>1</v>
      </c>
      <c r="E58" s="25" t="s">
        <v>119</v>
      </c>
      <c r="F58" s="44">
        <v>22000</v>
      </c>
      <c r="G58" s="34">
        <f>D58*F58</f>
        <v>22000</v>
      </c>
      <c r="H58" s="3" t="s">
        <v>56</v>
      </c>
      <c r="I58" s="5" t="s">
        <v>173</v>
      </c>
    </row>
    <row r="59" spans="1:9" ht="15" customHeight="1" x14ac:dyDescent="0.25">
      <c r="A59" s="55"/>
      <c r="B59" s="55"/>
      <c r="C59" s="55"/>
      <c r="D59" s="55"/>
      <c r="E59" s="55"/>
      <c r="F59" s="55"/>
      <c r="G59" s="39">
        <f>SUM(G55:G58)</f>
        <v>61200</v>
      </c>
      <c r="H59" s="9"/>
      <c r="I59" s="9"/>
    </row>
    <row r="60" spans="1:9" ht="15" customHeight="1" x14ac:dyDescent="0.25">
      <c r="A60" s="53" t="s">
        <v>336</v>
      </c>
      <c r="B60" s="53"/>
      <c r="C60" s="53"/>
      <c r="D60" s="53"/>
      <c r="E60" s="53"/>
      <c r="F60" s="53"/>
      <c r="G60" s="53"/>
      <c r="H60" s="53"/>
      <c r="I60" s="53"/>
    </row>
    <row r="61" spans="1:9" ht="24" x14ac:dyDescent="0.25">
      <c r="A61" s="3">
        <v>39</v>
      </c>
      <c r="B61" s="23" t="s">
        <v>152</v>
      </c>
      <c r="C61" s="5" t="s">
        <v>174</v>
      </c>
      <c r="D61" s="24">
        <v>2500</v>
      </c>
      <c r="E61" s="25" t="s">
        <v>175</v>
      </c>
      <c r="F61" s="44">
        <v>7</v>
      </c>
      <c r="G61" s="34">
        <f>D61*F61</f>
        <v>17500</v>
      </c>
      <c r="H61" s="3" t="s">
        <v>47</v>
      </c>
      <c r="I61" s="5" t="s">
        <v>176</v>
      </c>
    </row>
    <row r="62" spans="1:9" ht="24" x14ac:dyDescent="0.25">
      <c r="A62" s="3">
        <v>40</v>
      </c>
      <c r="B62" s="23" t="s">
        <v>152</v>
      </c>
      <c r="C62" s="5" t="s">
        <v>177</v>
      </c>
      <c r="D62" s="24">
        <v>1</v>
      </c>
      <c r="E62" s="25" t="s">
        <v>119</v>
      </c>
      <c r="F62" s="44">
        <v>20000</v>
      </c>
      <c r="G62" s="34">
        <f>D62*F62</f>
        <v>20000</v>
      </c>
      <c r="H62" s="3" t="s">
        <v>44</v>
      </c>
      <c r="I62" s="5" t="s">
        <v>178</v>
      </c>
    </row>
    <row r="63" spans="1:9" ht="24" x14ac:dyDescent="0.25">
      <c r="A63" s="3">
        <v>41</v>
      </c>
      <c r="B63" s="23" t="s">
        <v>152</v>
      </c>
      <c r="C63" s="5" t="s">
        <v>179</v>
      </c>
      <c r="D63" s="24">
        <v>1</v>
      </c>
      <c r="E63" s="25" t="s">
        <v>119</v>
      </c>
      <c r="F63" s="44">
        <v>8000</v>
      </c>
      <c r="G63" s="34">
        <f>D63*F63</f>
        <v>8000</v>
      </c>
      <c r="H63" s="3" t="s">
        <v>44</v>
      </c>
      <c r="I63" s="5" t="s">
        <v>180</v>
      </c>
    </row>
    <row r="64" spans="1:9" ht="36" x14ac:dyDescent="0.25">
      <c r="A64" s="3">
        <v>42</v>
      </c>
      <c r="B64" s="23" t="s">
        <v>152</v>
      </c>
      <c r="C64" s="5" t="s">
        <v>181</v>
      </c>
      <c r="D64" s="24">
        <v>1</v>
      </c>
      <c r="E64" s="25" t="s">
        <v>119</v>
      </c>
      <c r="F64" s="44">
        <v>15000</v>
      </c>
      <c r="G64" s="34">
        <f>D64*F64</f>
        <v>15000</v>
      </c>
      <c r="H64" s="3" t="s">
        <v>44</v>
      </c>
      <c r="I64" s="5" t="s">
        <v>182</v>
      </c>
    </row>
    <row r="65" spans="1:9" ht="15" customHeight="1" x14ac:dyDescent="0.25">
      <c r="A65" s="55"/>
      <c r="B65" s="55"/>
      <c r="C65" s="55"/>
      <c r="D65" s="55"/>
      <c r="E65" s="55"/>
      <c r="F65" s="55"/>
      <c r="G65" s="39">
        <f>SUM(G61:G64)</f>
        <v>60500</v>
      </c>
      <c r="H65" s="9"/>
      <c r="I65" s="9"/>
    </row>
    <row r="67" spans="1:9" ht="16.5" customHeight="1" x14ac:dyDescent="0.25">
      <c r="A67" s="56" t="s">
        <v>59</v>
      </c>
      <c r="B67" s="56"/>
      <c r="C67" s="56"/>
      <c r="D67" s="56"/>
      <c r="E67" s="56"/>
      <c r="F67" s="56"/>
      <c r="G67" s="43">
        <f>G20+G27+G33+G36+G39+G43+G46+G53+G59+G65</f>
        <v>792000</v>
      </c>
      <c r="H67" s="26"/>
      <c r="I67" s="26"/>
    </row>
  </sheetData>
  <mergeCells count="23">
    <mergeCell ref="A1:I1"/>
    <mergeCell ref="A2:I2"/>
    <mergeCell ref="A4:I4"/>
    <mergeCell ref="A20:F20"/>
    <mergeCell ref="A21:I21"/>
    <mergeCell ref="A27:F27"/>
    <mergeCell ref="A28:I28"/>
    <mergeCell ref="A33:F33"/>
    <mergeCell ref="A34:I34"/>
    <mergeCell ref="A36:F36"/>
    <mergeCell ref="A37:I37"/>
    <mergeCell ref="A39:F39"/>
    <mergeCell ref="A40:I40"/>
    <mergeCell ref="A43:F43"/>
    <mergeCell ref="A44:I44"/>
    <mergeCell ref="A60:I60"/>
    <mergeCell ref="A65:F65"/>
    <mergeCell ref="A67:F67"/>
    <mergeCell ref="A46:F46"/>
    <mergeCell ref="A47:I47"/>
    <mergeCell ref="A53:F53"/>
    <mergeCell ref="A54:I54"/>
    <mergeCell ref="A59:F59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&amp;L_x000D_&amp;1#&amp;"Calibri"&amp;10&amp;K000000 DISTRIBUTION: DoW COMMUNITY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showGridLines="0" zoomScaleNormal="100" workbookViewId="0">
      <pane ySplit="1" topLeftCell="A32" activePane="bottomLeft" state="frozen"/>
      <selection pane="bottomLeft" activeCell="A31" sqref="A31"/>
    </sheetView>
  </sheetViews>
  <sheetFormatPr defaultColWidth="8.7109375" defaultRowHeight="15" x14ac:dyDescent="0.25"/>
  <cols>
    <col min="1" max="1" width="38" style="1" customWidth="1"/>
    <col min="2" max="2" width="61.28515625" style="42" bestFit="1" customWidth="1"/>
    <col min="3" max="3" width="11.42578125" style="1" bestFit="1" customWidth="1"/>
    <col min="4" max="4" width="95.42578125" style="1" customWidth="1"/>
  </cols>
  <sheetData>
    <row r="1" spans="1:4" ht="19.5" customHeight="1" x14ac:dyDescent="0.25">
      <c r="A1" s="54" t="s">
        <v>183</v>
      </c>
      <c r="B1" s="54"/>
      <c r="C1" s="54"/>
      <c r="D1" s="54"/>
    </row>
    <row r="2" spans="1:4" ht="15" customHeight="1" x14ac:dyDescent="0.25">
      <c r="A2" s="53" t="s">
        <v>184</v>
      </c>
      <c r="B2" s="53"/>
      <c r="C2" s="53"/>
      <c r="D2" s="53"/>
    </row>
    <row r="3" spans="1:4" ht="15" customHeight="1" x14ac:dyDescent="0.25">
      <c r="A3" s="2" t="s">
        <v>185</v>
      </c>
      <c r="B3" s="2" t="s">
        <v>186</v>
      </c>
      <c r="C3" s="2" t="s">
        <v>97</v>
      </c>
      <c r="D3" s="2" t="s">
        <v>187</v>
      </c>
    </row>
    <row r="4" spans="1:4" ht="15" customHeight="1" x14ac:dyDescent="0.25">
      <c r="A4" s="4" t="s">
        <v>188</v>
      </c>
      <c r="B4" s="25" t="s">
        <v>189</v>
      </c>
      <c r="C4" s="3" t="s">
        <v>190</v>
      </c>
      <c r="D4" s="5" t="s">
        <v>191</v>
      </c>
    </row>
    <row r="5" spans="1:4" ht="15" customHeight="1" x14ac:dyDescent="0.25">
      <c r="A5" s="4" t="s">
        <v>192</v>
      </c>
      <c r="B5" s="25" t="s">
        <v>193</v>
      </c>
      <c r="C5" s="3" t="s">
        <v>190</v>
      </c>
      <c r="D5" s="5" t="s">
        <v>194</v>
      </c>
    </row>
    <row r="6" spans="1:4" ht="15" customHeight="1" x14ac:dyDescent="0.25">
      <c r="A6" s="4" t="s">
        <v>195</v>
      </c>
      <c r="B6" s="25" t="s">
        <v>196</v>
      </c>
      <c r="C6" s="3" t="s">
        <v>190</v>
      </c>
      <c r="D6" s="5" t="s">
        <v>197</v>
      </c>
    </row>
    <row r="7" spans="1:4" ht="15" customHeight="1" x14ac:dyDescent="0.25">
      <c r="A7" s="4" t="s">
        <v>198</v>
      </c>
      <c r="B7" s="45">
        <v>387568</v>
      </c>
      <c r="C7" s="3" t="s">
        <v>199</v>
      </c>
      <c r="D7" s="5" t="s">
        <v>200</v>
      </c>
    </row>
    <row r="8" spans="1:4" ht="15" customHeight="1" x14ac:dyDescent="0.25">
      <c r="A8" s="4" t="s">
        <v>201</v>
      </c>
      <c r="B8" s="25" t="s">
        <v>202</v>
      </c>
      <c r="C8" s="3" t="s">
        <v>199</v>
      </c>
      <c r="D8" s="5" t="s">
        <v>203</v>
      </c>
    </row>
    <row r="9" spans="1:4" ht="15" customHeight="1" x14ac:dyDescent="0.25">
      <c r="A9" s="4" t="s">
        <v>204</v>
      </c>
      <c r="B9" s="25" t="s">
        <v>205</v>
      </c>
      <c r="C9" s="3" t="s">
        <v>206</v>
      </c>
      <c r="D9" s="5" t="s">
        <v>207</v>
      </c>
    </row>
    <row r="10" spans="1:4" ht="15" customHeight="1" x14ac:dyDescent="0.25">
      <c r="A10" s="4" t="s">
        <v>208</v>
      </c>
      <c r="B10" s="25" t="s">
        <v>209</v>
      </c>
      <c r="C10" s="3" t="s">
        <v>210</v>
      </c>
      <c r="D10" s="5" t="s">
        <v>211</v>
      </c>
    </row>
    <row r="11" spans="1:4" ht="15" customHeight="1" x14ac:dyDescent="0.25">
      <c r="A11" s="4" t="s">
        <v>212</v>
      </c>
      <c r="B11" s="3" t="s">
        <v>213</v>
      </c>
      <c r="C11" s="3" t="s">
        <v>214</v>
      </c>
      <c r="D11" s="5" t="s">
        <v>215</v>
      </c>
    </row>
    <row r="12" spans="1:4" ht="15" customHeight="1" x14ac:dyDescent="0.25">
      <c r="A12" s="4" t="s">
        <v>216</v>
      </c>
      <c r="B12" s="3" t="s">
        <v>217</v>
      </c>
      <c r="C12" s="3" t="s">
        <v>218</v>
      </c>
      <c r="D12" s="5"/>
    </row>
    <row r="14" spans="1:4" ht="15" customHeight="1" x14ac:dyDescent="0.25">
      <c r="A14" s="53" t="s">
        <v>219</v>
      </c>
      <c r="B14" s="53"/>
      <c r="C14" s="53"/>
      <c r="D14" s="53"/>
    </row>
    <row r="15" spans="1:4" ht="15" customHeight="1" x14ac:dyDescent="0.25">
      <c r="A15" s="2" t="s">
        <v>185</v>
      </c>
      <c r="B15" s="2" t="s">
        <v>186</v>
      </c>
      <c r="C15" s="2" t="s">
        <v>97</v>
      </c>
      <c r="D15" s="2" t="s">
        <v>187</v>
      </c>
    </row>
    <row r="16" spans="1:4" ht="15" customHeight="1" x14ac:dyDescent="0.25">
      <c r="A16" s="4" t="s">
        <v>220</v>
      </c>
      <c r="B16" s="45">
        <v>2024</v>
      </c>
      <c r="C16" s="3" t="s">
        <v>221</v>
      </c>
      <c r="D16" s="5" t="s">
        <v>222</v>
      </c>
    </row>
    <row r="17" spans="1:4" ht="15" customHeight="1" x14ac:dyDescent="0.25">
      <c r="A17" s="4" t="s">
        <v>223</v>
      </c>
      <c r="B17" s="45">
        <v>2027</v>
      </c>
      <c r="C17" s="3" t="s">
        <v>221</v>
      </c>
      <c r="D17" s="5" t="s">
        <v>224</v>
      </c>
    </row>
    <row r="18" spans="1:4" ht="15" customHeight="1" x14ac:dyDescent="0.25">
      <c r="A18" s="4" t="s">
        <v>225</v>
      </c>
      <c r="B18" s="46">
        <v>1.85</v>
      </c>
      <c r="C18" s="3" t="s">
        <v>226</v>
      </c>
      <c r="D18" s="5" t="s">
        <v>227</v>
      </c>
    </row>
    <row r="19" spans="1:4" ht="15" customHeight="1" x14ac:dyDescent="0.25">
      <c r="A19" s="4" t="s">
        <v>228</v>
      </c>
      <c r="B19" s="47">
        <v>2.1000000000000001E-2</v>
      </c>
      <c r="C19" s="3" t="s">
        <v>229</v>
      </c>
      <c r="D19" s="5" t="s">
        <v>230</v>
      </c>
    </row>
    <row r="20" spans="1:4" ht="15" customHeight="1" x14ac:dyDescent="0.25">
      <c r="A20" s="4" t="s">
        <v>231</v>
      </c>
      <c r="B20" s="45">
        <v>3</v>
      </c>
      <c r="C20" s="3" t="s">
        <v>232</v>
      </c>
      <c r="D20" s="5" t="s">
        <v>233</v>
      </c>
    </row>
    <row r="21" spans="1:4" ht="15" customHeight="1" x14ac:dyDescent="0.25">
      <c r="A21" s="4" t="s">
        <v>234</v>
      </c>
      <c r="B21" s="47">
        <v>0.1</v>
      </c>
      <c r="C21" s="3" t="s">
        <v>229</v>
      </c>
      <c r="D21" s="5" t="s">
        <v>235</v>
      </c>
    </row>
    <row r="22" spans="1:4" ht="15" customHeight="1" x14ac:dyDescent="0.25">
      <c r="A22" s="4" t="s">
        <v>236</v>
      </c>
      <c r="B22" s="47">
        <v>0.1</v>
      </c>
      <c r="C22" s="3" t="s">
        <v>229</v>
      </c>
      <c r="D22" s="5" t="s">
        <v>237</v>
      </c>
    </row>
    <row r="23" spans="1:4" ht="15" customHeight="1" x14ac:dyDescent="0.25">
      <c r="A23" s="4" t="s">
        <v>238</v>
      </c>
      <c r="B23" s="47">
        <v>2.5000000000000001E-2</v>
      </c>
      <c r="C23" s="3" t="s">
        <v>229</v>
      </c>
      <c r="D23" s="5" t="s">
        <v>239</v>
      </c>
    </row>
    <row r="24" spans="1:4" ht="15" customHeight="1" x14ac:dyDescent="0.25">
      <c r="A24" s="4" t="s">
        <v>240</v>
      </c>
      <c r="B24" s="47">
        <v>0.06</v>
      </c>
      <c r="C24" s="3" t="s">
        <v>229</v>
      </c>
      <c r="D24" s="5" t="s">
        <v>241</v>
      </c>
    </row>
    <row r="25" spans="1:4" ht="15" customHeight="1" x14ac:dyDescent="0.25">
      <c r="A25" s="4" t="s">
        <v>242</v>
      </c>
      <c r="B25" s="47">
        <v>0.08</v>
      </c>
      <c r="C25" s="3" t="s">
        <v>229</v>
      </c>
      <c r="D25" s="5" t="s">
        <v>243</v>
      </c>
    </row>
    <row r="26" spans="1:4" ht="15" customHeight="1" x14ac:dyDescent="0.25">
      <c r="A26" s="4" t="s">
        <v>244</v>
      </c>
      <c r="B26" s="47">
        <v>0.04</v>
      </c>
      <c r="C26" s="3" t="s">
        <v>229</v>
      </c>
      <c r="D26" s="5" t="s">
        <v>245</v>
      </c>
    </row>
    <row r="27" spans="1:4" ht="15" customHeight="1" x14ac:dyDescent="0.25">
      <c r="A27" s="4" t="s">
        <v>246</v>
      </c>
      <c r="B27" s="47">
        <v>0.04</v>
      </c>
      <c r="C27" s="3" t="s">
        <v>229</v>
      </c>
      <c r="D27" s="5" t="s">
        <v>247</v>
      </c>
    </row>
    <row r="29" spans="1:4" ht="15" customHeight="1" x14ac:dyDescent="0.25">
      <c r="A29" s="53" t="s">
        <v>248</v>
      </c>
      <c r="B29" s="53"/>
      <c r="C29" s="53"/>
      <c r="D29" s="53"/>
    </row>
    <row r="30" spans="1:4" ht="15" customHeight="1" x14ac:dyDescent="0.25">
      <c r="A30" s="2" t="s">
        <v>185</v>
      </c>
      <c r="B30" s="2" t="s">
        <v>186</v>
      </c>
      <c r="C30" s="2" t="s">
        <v>97</v>
      </c>
      <c r="D30" s="2" t="s">
        <v>187</v>
      </c>
    </row>
    <row r="31" spans="1:4" ht="15" customHeight="1" x14ac:dyDescent="0.25">
      <c r="A31" s="4" t="s">
        <v>249</v>
      </c>
      <c r="B31" s="24">
        <v>25390</v>
      </c>
      <c r="C31" s="3" t="s">
        <v>175</v>
      </c>
      <c r="D31" s="5" t="s">
        <v>250</v>
      </c>
    </row>
    <row r="32" spans="1:4" ht="15" customHeight="1" x14ac:dyDescent="0.25">
      <c r="A32" s="4" t="s">
        <v>251</v>
      </c>
      <c r="B32" s="45">
        <v>1174058</v>
      </c>
      <c r="C32" s="3" t="s">
        <v>199</v>
      </c>
      <c r="D32" s="5" t="s">
        <v>337</v>
      </c>
    </row>
    <row r="33" spans="1:4" ht="15" customHeight="1" x14ac:dyDescent="0.25">
      <c r="A33" s="27" t="s">
        <v>252</v>
      </c>
      <c r="B33" s="34">
        <v>39507617</v>
      </c>
      <c r="C33" s="3" t="s">
        <v>253</v>
      </c>
      <c r="D33" s="5" t="s">
        <v>254</v>
      </c>
    </row>
    <row r="34" spans="1:4" ht="15" customHeight="1" x14ac:dyDescent="0.25">
      <c r="A34" s="27" t="s">
        <v>255</v>
      </c>
      <c r="B34" s="34">
        <v>987690</v>
      </c>
      <c r="C34" s="3" t="s">
        <v>253</v>
      </c>
      <c r="D34" s="5" t="s">
        <v>256</v>
      </c>
    </row>
    <row r="35" spans="1:4" ht="25.5" x14ac:dyDescent="0.25">
      <c r="A35" s="4" t="s">
        <v>257</v>
      </c>
      <c r="B35" s="34">
        <v>810</v>
      </c>
      <c r="C35" s="3" t="s">
        <v>258</v>
      </c>
      <c r="D35" s="5" t="s">
        <v>259</v>
      </c>
    </row>
    <row r="37" spans="1:4" ht="15" customHeight="1" x14ac:dyDescent="0.25">
      <c r="A37" s="53" t="s">
        <v>350</v>
      </c>
      <c r="B37" s="53"/>
      <c r="C37" s="53"/>
      <c r="D37" s="53"/>
    </row>
    <row r="38" spans="1:4" ht="15" customHeight="1" x14ac:dyDescent="0.25">
      <c r="A38" s="2" t="s">
        <v>185</v>
      </c>
      <c r="B38" s="2" t="s">
        <v>186</v>
      </c>
      <c r="C38" s="2" t="s">
        <v>97</v>
      </c>
      <c r="D38" s="2" t="s">
        <v>260</v>
      </c>
    </row>
    <row r="39" spans="1:4" ht="15" customHeight="1" x14ac:dyDescent="0.25">
      <c r="A39" s="4" t="s">
        <v>261</v>
      </c>
      <c r="B39" s="48">
        <f>(1+B19)^B20</f>
        <v>1.0643322609999997</v>
      </c>
      <c r="C39" s="3" t="s">
        <v>262</v>
      </c>
      <c r="D39" s="5" t="s">
        <v>263</v>
      </c>
    </row>
    <row r="41" spans="1:4" x14ac:dyDescent="0.25">
      <c r="A41" s="28" t="s">
        <v>264</v>
      </c>
      <c r="B41" s="29"/>
      <c r="C41" s="29" t="s">
        <v>265</v>
      </c>
      <c r="D41" s="28" t="s">
        <v>266</v>
      </c>
    </row>
    <row r="43" spans="1:4" ht="15" customHeight="1" x14ac:dyDescent="0.25">
      <c r="A43" s="53" t="s">
        <v>267</v>
      </c>
      <c r="B43" s="53"/>
      <c r="C43" s="53"/>
      <c r="D43" s="53"/>
    </row>
    <row r="44" spans="1:4" ht="21.75" customHeight="1" x14ac:dyDescent="0.25">
      <c r="A44" s="58" t="s">
        <v>268</v>
      </c>
      <c r="B44" s="58"/>
      <c r="C44" s="58"/>
      <c r="D44" s="58"/>
    </row>
    <row r="45" spans="1:4" ht="21.75" customHeight="1" x14ac:dyDescent="0.25">
      <c r="A45" s="58" t="s">
        <v>269</v>
      </c>
      <c r="B45" s="58"/>
      <c r="C45" s="58"/>
      <c r="D45" s="58"/>
    </row>
    <row r="46" spans="1:4" ht="21.75" customHeight="1" x14ac:dyDescent="0.25">
      <c r="A46" s="58" t="s">
        <v>270</v>
      </c>
      <c r="B46" s="58"/>
      <c r="C46" s="58"/>
      <c r="D46" s="58"/>
    </row>
    <row r="47" spans="1:4" ht="21.75" customHeight="1" x14ac:dyDescent="0.25">
      <c r="A47" s="58" t="s">
        <v>271</v>
      </c>
      <c r="B47" s="58"/>
      <c r="C47" s="58"/>
      <c r="D47" s="58"/>
    </row>
    <row r="48" spans="1:4" ht="21.75" customHeight="1" x14ac:dyDescent="0.25">
      <c r="A48" s="58" t="s">
        <v>272</v>
      </c>
      <c r="B48" s="58"/>
      <c r="C48" s="58"/>
      <c r="D48" s="58"/>
    </row>
  </sheetData>
  <mergeCells count="11">
    <mergeCell ref="A1:D1"/>
    <mergeCell ref="A2:D2"/>
    <mergeCell ref="A14:D14"/>
    <mergeCell ref="A29:D29"/>
    <mergeCell ref="A37:D37"/>
    <mergeCell ref="A48:D48"/>
    <mergeCell ref="A43:D43"/>
    <mergeCell ref="A44:D44"/>
    <mergeCell ref="A45:D45"/>
    <mergeCell ref="A46:D46"/>
    <mergeCell ref="A47:D47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&amp;L_x000D_&amp;1#&amp;"Calibri"&amp;10&amp;K000000 DISTRIBUTION: DoW COMMUNITY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showGridLines="0" zoomScaleNormal="100" workbookViewId="0">
      <pane ySplit="1" topLeftCell="A2" activePane="bottomLeft" state="frozen"/>
      <selection pane="bottomLeft" activeCell="A27" sqref="A27:B27"/>
    </sheetView>
  </sheetViews>
  <sheetFormatPr defaultColWidth="8.7109375" defaultRowHeight="15" x14ac:dyDescent="0.25"/>
  <cols>
    <col min="1" max="1" width="77.42578125" style="33" bestFit="1" customWidth="1"/>
    <col min="2" max="2" width="13.85546875" style="40" bestFit="1" customWidth="1"/>
    <col min="3" max="3" width="76.5703125" style="33" bestFit="1" customWidth="1"/>
    <col min="4" max="16384" width="8.7109375" style="33"/>
  </cols>
  <sheetData>
    <row r="1" spans="1:3" ht="19.5" customHeight="1" x14ac:dyDescent="0.25">
      <c r="A1" s="54" t="s">
        <v>183</v>
      </c>
      <c r="B1" s="54"/>
      <c r="C1" s="54"/>
    </row>
    <row r="2" spans="1:3" ht="12.75" customHeight="1" x14ac:dyDescent="0.25">
      <c r="A2" s="57" t="s">
        <v>273</v>
      </c>
      <c r="B2" s="57"/>
      <c r="C2" s="57"/>
    </row>
    <row r="3" spans="1:3" ht="15" customHeight="1" x14ac:dyDescent="0.25">
      <c r="A3" s="2" t="s">
        <v>274</v>
      </c>
      <c r="B3" s="2" t="s">
        <v>275</v>
      </c>
      <c r="C3" s="2" t="s">
        <v>63</v>
      </c>
    </row>
    <row r="4" spans="1:3" ht="18" customHeight="1" x14ac:dyDescent="0.25">
      <c r="A4" s="4" t="s">
        <v>338</v>
      </c>
      <c r="B4" s="49">
        <f>ROUND((SUMIF(SCOPE_DETAIL!H:H,"B20",SCOPE_DETAIL!G:G)/ESTIMATE!C4)*ESTIMATE!C7/1000,3)</f>
        <v>47.65</v>
      </c>
      <c r="C4" s="5" t="s">
        <v>276</v>
      </c>
    </row>
    <row r="5" spans="1:3" ht="18" customHeight="1" x14ac:dyDescent="0.25">
      <c r="A5" s="4" t="s">
        <v>339</v>
      </c>
      <c r="B5" s="49">
        <f>ROUND((SUMIF(SCOPE_DETAIL!H:H,"C10",SCOPE_DETAIL!G:G)/ESTIMATE!C4)*ESTIMATE!C7/1000,3)</f>
        <v>93.134</v>
      </c>
      <c r="C5" s="5" t="s">
        <v>277</v>
      </c>
    </row>
    <row r="6" spans="1:3" ht="18" customHeight="1" x14ac:dyDescent="0.25">
      <c r="A6" s="4" t="s">
        <v>340</v>
      </c>
      <c r="B6" s="49">
        <f>ROUND((SUMIF(SCOPE_DETAIL!H:H,"C30",SCOPE_DETAIL!G:G)/ESTIMATE!C4)*ESTIMATE!C7/1000,3)</f>
        <v>37.904000000000003</v>
      </c>
      <c r="C6" s="5" t="s">
        <v>278</v>
      </c>
    </row>
    <row r="7" spans="1:3" ht="18" customHeight="1" x14ac:dyDescent="0.25">
      <c r="A7" s="4" t="s">
        <v>341</v>
      </c>
      <c r="B7" s="49">
        <f>ROUND((SUMIF(SCOPE_DETAIL!H:H,"D20",SCOPE_DETAIL!G:G)/ESTIMATE!C4)*ESTIMATE!C7/1000,3)</f>
        <v>40.719000000000001</v>
      </c>
      <c r="C7" s="5" t="s">
        <v>279</v>
      </c>
    </row>
    <row r="8" spans="1:3" ht="18" customHeight="1" x14ac:dyDescent="0.25">
      <c r="A8" s="4" t="s">
        <v>342</v>
      </c>
      <c r="B8" s="49">
        <f>ROUND((SUMIF(SCOPE_DETAIL!H:H,"D30",SCOPE_DETAIL!G:G)/ESTIMATE!C4)*ESTIMATE!C7/1000,3)</f>
        <v>1093.354</v>
      </c>
      <c r="C8" s="5" t="s">
        <v>280</v>
      </c>
    </row>
    <row r="9" spans="1:3" ht="18" customHeight="1" x14ac:dyDescent="0.25">
      <c r="A9" s="4" t="s">
        <v>343</v>
      </c>
      <c r="B9" s="49">
        <f>ROUND((SUMIF(SCOPE_DETAIL!H:H,"D50",SCOPE_DETAIL!G:G)/ESTIMATE!C4)*ESTIMATE!C7/1000,3)</f>
        <v>402.64400000000001</v>
      </c>
      <c r="C9" s="5" t="s">
        <v>281</v>
      </c>
    </row>
    <row r="10" spans="1:3" ht="18" customHeight="1" x14ac:dyDescent="0.25">
      <c r="A10" s="30" t="s">
        <v>282</v>
      </c>
      <c r="B10" s="50">
        <f>ESTIMATE!C7/1000</f>
        <v>1715.4055916989196</v>
      </c>
      <c r="C10" s="11" t="s">
        <v>344</v>
      </c>
    </row>
    <row r="11" spans="1:3" ht="18" customHeight="1" x14ac:dyDescent="0.25">
      <c r="A11" s="4" t="s">
        <v>345</v>
      </c>
      <c r="B11" s="49">
        <f>B10*PARAMETERS!B22</f>
        <v>171.54055916989196</v>
      </c>
      <c r="C11" s="5" t="s">
        <v>283</v>
      </c>
    </row>
    <row r="12" spans="1:3" ht="18" customHeight="1" x14ac:dyDescent="0.25">
      <c r="A12" s="4" t="s">
        <v>346</v>
      </c>
      <c r="B12" s="49">
        <f>PARAMETERS!B34/1000</f>
        <v>987.69</v>
      </c>
      <c r="C12" s="5" t="s">
        <v>284</v>
      </c>
    </row>
    <row r="13" spans="1:3" ht="18" customHeight="1" x14ac:dyDescent="0.25">
      <c r="A13" s="4" t="s">
        <v>347</v>
      </c>
      <c r="B13" s="49">
        <f>ESTIMATE!C14/1000</f>
        <v>172.47816</v>
      </c>
      <c r="C13" s="5" t="s">
        <v>285</v>
      </c>
    </row>
    <row r="14" spans="1:3" ht="18" customHeight="1" x14ac:dyDescent="0.25">
      <c r="A14" s="4" t="s">
        <v>348</v>
      </c>
      <c r="B14" s="49">
        <f>ESTIMATE!C15/1000</f>
        <v>229.97087999999999</v>
      </c>
      <c r="C14" s="5" t="s">
        <v>286</v>
      </c>
    </row>
    <row r="15" spans="1:3" ht="18" customHeight="1" x14ac:dyDescent="0.25">
      <c r="A15" s="4" t="s">
        <v>25</v>
      </c>
      <c r="B15" s="49">
        <f>ESTIMATE!C16/1000</f>
        <v>114.98544</v>
      </c>
      <c r="C15" s="5" t="s">
        <v>287</v>
      </c>
    </row>
    <row r="16" spans="1:3" ht="18" customHeight="1" x14ac:dyDescent="0.25">
      <c r="A16" s="30" t="s">
        <v>27</v>
      </c>
      <c r="B16" s="50">
        <f>ESTIMATE!C18/1000</f>
        <v>3392.07</v>
      </c>
      <c r="C16" s="11" t="s">
        <v>288</v>
      </c>
    </row>
    <row r="17" spans="1:3" ht="6" customHeight="1" x14ac:dyDescent="0.25"/>
    <row r="18" spans="1:3" ht="15" customHeight="1" x14ac:dyDescent="0.25">
      <c r="A18" s="53" t="s">
        <v>289</v>
      </c>
      <c r="B18" s="53"/>
      <c r="C18" s="53"/>
    </row>
    <row r="19" spans="1:3" ht="18" customHeight="1" x14ac:dyDescent="0.25">
      <c r="A19" s="4" t="s">
        <v>290</v>
      </c>
      <c r="B19" s="49">
        <f>B16</f>
        <v>3392.07</v>
      </c>
      <c r="C19" s="5" t="s">
        <v>291</v>
      </c>
    </row>
    <row r="20" spans="1:3" ht="18" customHeight="1" x14ac:dyDescent="0.25">
      <c r="A20" s="4" t="s">
        <v>292</v>
      </c>
      <c r="B20" s="49">
        <f>B16</f>
        <v>3392.07</v>
      </c>
      <c r="C20" s="5" t="s">
        <v>293</v>
      </c>
    </row>
    <row r="21" spans="1:3" ht="18" customHeight="1" x14ac:dyDescent="0.25">
      <c r="A21" s="4" t="s">
        <v>317</v>
      </c>
      <c r="B21" s="49">
        <f>ESTIMATE!C19/1000</f>
        <v>135.68279999999999</v>
      </c>
      <c r="C21" s="5" t="s">
        <v>294</v>
      </c>
    </row>
    <row r="22" spans="1:3" ht="18" customHeight="1" x14ac:dyDescent="0.25">
      <c r="A22" s="31" t="s">
        <v>30</v>
      </c>
      <c r="B22" s="51">
        <f>ESTIMATE!C20/1000</f>
        <v>3527.7527999999998</v>
      </c>
      <c r="C22" s="32" t="s">
        <v>295</v>
      </c>
    </row>
    <row r="23" spans="1:3" ht="6" customHeight="1" x14ac:dyDescent="0.25"/>
    <row r="24" spans="1:3" ht="15" customHeight="1" x14ac:dyDescent="0.25">
      <c r="A24" s="53" t="s">
        <v>296</v>
      </c>
      <c r="B24" s="53"/>
      <c r="C24" s="53"/>
    </row>
    <row r="25" spans="1:3" ht="12.75" customHeight="1" x14ac:dyDescent="0.25">
      <c r="A25" s="58" t="s">
        <v>297</v>
      </c>
      <c r="B25" s="58"/>
      <c r="C25" s="5" t="s">
        <v>349</v>
      </c>
    </row>
    <row r="26" spans="1:3" ht="12.75" customHeight="1" x14ac:dyDescent="0.25">
      <c r="A26" s="58" t="s">
        <v>298</v>
      </c>
      <c r="B26" s="58"/>
      <c r="C26" s="5" t="s">
        <v>299</v>
      </c>
    </row>
    <row r="27" spans="1:3" ht="12.75" customHeight="1" x14ac:dyDescent="0.25">
      <c r="A27" s="58" t="s">
        <v>300</v>
      </c>
      <c r="B27" s="58"/>
      <c r="C27" s="5" t="s">
        <v>301</v>
      </c>
    </row>
    <row r="28" spans="1:3" ht="12.75" customHeight="1" x14ac:dyDescent="0.25">
      <c r="A28" s="58" t="s">
        <v>302</v>
      </c>
      <c r="B28" s="58"/>
      <c r="C28" s="5" t="s">
        <v>303</v>
      </c>
    </row>
    <row r="29" spans="1:3" ht="12.75" customHeight="1" x14ac:dyDescent="0.25">
      <c r="A29" s="58" t="s">
        <v>304</v>
      </c>
      <c r="B29" s="58"/>
      <c r="C29" s="5" t="s">
        <v>305</v>
      </c>
    </row>
    <row r="30" spans="1:3" ht="12.75" customHeight="1" x14ac:dyDescent="0.25">
      <c r="A30" s="58" t="s">
        <v>306</v>
      </c>
      <c r="B30" s="58"/>
      <c r="C30" s="5" t="s">
        <v>307</v>
      </c>
    </row>
    <row r="31" spans="1:3" ht="12.75" customHeight="1" x14ac:dyDescent="0.25">
      <c r="A31" s="58" t="s">
        <v>308</v>
      </c>
      <c r="B31" s="58"/>
      <c r="C31" s="5" t="s">
        <v>309</v>
      </c>
    </row>
    <row r="32" spans="1:3" ht="12.75" customHeight="1" x14ac:dyDescent="0.25">
      <c r="A32" s="58" t="s">
        <v>310</v>
      </c>
      <c r="B32" s="58"/>
      <c r="C32" s="5" t="s">
        <v>311</v>
      </c>
    </row>
    <row r="33" spans="1:3" ht="12.75" customHeight="1" x14ac:dyDescent="0.25">
      <c r="A33" s="58" t="s">
        <v>312</v>
      </c>
      <c r="B33" s="58"/>
      <c r="C33" s="5" t="s">
        <v>217</v>
      </c>
    </row>
  </sheetData>
  <mergeCells count="13">
    <mergeCell ref="A1:C1"/>
    <mergeCell ref="A2:C2"/>
    <mergeCell ref="A18:C18"/>
    <mergeCell ref="A24:C24"/>
    <mergeCell ref="A25:B25"/>
    <mergeCell ref="A31:B31"/>
    <mergeCell ref="A32:B32"/>
    <mergeCell ref="A33:B33"/>
    <mergeCell ref="A26:B26"/>
    <mergeCell ref="A27:B27"/>
    <mergeCell ref="A28:B28"/>
    <mergeCell ref="A29:B29"/>
    <mergeCell ref="A30:B30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&amp;L_x000D_&amp;1#&amp;"Calibri"&amp;10&amp;K000000 DISTRIBUTION: DoW COMMUNITY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4C915A3B47B546981F3394A9EEFC8B" ma:contentTypeVersion="17" ma:contentTypeDescription="Create a new document." ma:contentTypeScope="" ma:versionID="bc73bbfb93675bf74b291369b121ed89">
  <xsd:schema xmlns:xsd="http://www.w3.org/2001/XMLSchema" xmlns:xs="http://www.w3.org/2001/XMLSchema" xmlns:p="http://schemas.microsoft.com/office/2006/metadata/properties" xmlns:ns2="52e17147-a371-4dec-aee1-95e66561af2f" xmlns:ns3="4cb5e926-a038-4de2-a34a-8925b2fb417f" targetNamespace="http://schemas.microsoft.com/office/2006/metadata/properties" ma:root="true" ma:fieldsID="c507208a0f86dc64fbb1b596395227e4" ns2:_="" ns3:_="">
    <xsd:import namespace="52e17147-a371-4dec-aee1-95e66561af2f"/>
    <xsd:import namespace="4cb5e926-a038-4de2-a34a-8925b2fb417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7147-a371-4dec-aee1-95e66561af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5e926-a038-4de2-a34a-8925b2fb417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86da742-fafb-4cba-9224-1b1074ee1245}" ma:internalName="TaxCatchAll" ma:showField="CatchAllData" ma:web="4cb5e926-a038-4de2-a34a-8925b2fb41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e17147-a371-4dec-aee1-95e66561af2f">
      <Terms xmlns="http://schemas.microsoft.com/office/infopath/2007/PartnerControls"/>
    </lcf76f155ced4ddcb4097134ff3c332f>
    <TaxCatchAll xmlns="4cb5e926-a038-4de2-a34a-8925b2fb417f" xsi:nil="true"/>
  </documentManagement>
</p:properties>
</file>

<file path=customXml/itemProps1.xml><?xml version="1.0" encoding="utf-8"?>
<ds:datastoreItem xmlns:ds="http://schemas.openxmlformats.org/officeDocument/2006/customXml" ds:itemID="{3F093C70-A3AC-44C7-8D97-24047B74548E}"/>
</file>

<file path=customXml/itemProps2.xml><?xml version="1.0" encoding="utf-8"?>
<ds:datastoreItem xmlns:ds="http://schemas.openxmlformats.org/officeDocument/2006/customXml" ds:itemID="{506DC36E-BC0D-43DC-A62F-99A8EB523E8B}"/>
</file>

<file path=customXml/itemProps3.xml><?xml version="1.0" encoding="utf-8"?>
<ds:datastoreItem xmlns:ds="http://schemas.openxmlformats.org/officeDocument/2006/customXml" ds:itemID="{07C7B5FD-F0D7-4E6F-8A73-BDC76D227B3D}"/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</vt:lpstr>
      <vt:lpstr>SCOPE_DETAIL</vt:lpstr>
      <vt:lpstr>PARAMETERS</vt:lpstr>
      <vt:lpstr>DD1391_BLOCK9</vt:lpstr>
    </vt:vector>
  </TitlesOfParts>
  <Manager>Anthony L. Potter</Manager>
  <Company>MCIPAC GF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SCH-3270 ROM Level 3 Cost Estimate</dc:title>
  <dc:subject>SCH-3270 ROM Level 3 Cost Estimate</dc:subject>
  <dc:creator>Anthony L. Potter</dc:creator>
  <dc:description/>
  <cp:lastModifiedBy>Potter CTR Anthony L</cp:lastModifiedBy>
  <cp:revision>0</cp:revision>
  <dcterms:created xsi:type="dcterms:W3CDTF">2026-03-19T01:36:03Z</dcterms:created>
  <dcterms:modified xsi:type="dcterms:W3CDTF">2026-03-19T03:23:06Z</dcterms:modified>
  <cp:category>MICLON, FSRM</cp:category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0x010100884C915A3B47B546981F3394A9EEFC8B</vt:lpwstr>
  </property>
</Properties>
</file>