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LOCK9" sheetId="2" state="visible" r:id="rId2"/>
    <sheet name="BLOCK10" sheetId="3" state="visible" r:id="rId3"/>
    <sheet name="BACKUP" sheetId="4" state="visible" r:id="rId4"/>
    <sheet name="RATES" sheetId="5" state="visible" r:id="rId5"/>
    <sheet name="REFERENCES" sheetId="6" state="visible" r:id="rId6"/>
  </sheets>
  <definedNames/>
  <calcPr calcId="124519" fullCalcOnLoad="1"/>
</workbook>
</file>

<file path=xl/styles.xml><?xml version="1.0" encoding="utf-8"?>
<styleSheet xmlns="http://schemas.openxmlformats.org/spreadsheetml/2006/main">
  <numFmts count="7">
    <numFmt numFmtId="164" formatCode="&quot;$&quot;#,##0"/>
    <numFmt numFmtId="165" formatCode="0.00000"/>
    <numFmt numFmtId="166" formatCode="&quot;$&quot;#,##0.00"/>
    <numFmt numFmtId="167" formatCode="&quot;$&quot;#,##0;[Red]&quot;$&quot;-#,##0"/>
    <numFmt numFmtId="168" formatCode="#,##0;[Red]-#,##0"/>
    <numFmt numFmtId="169" formatCode="&quot;(&quot;#,##0&quot;)&quot;"/>
    <numFmt numFmtId="170" formatCode="0.0%"/>
  </numFmts>
  <fonts count="4">
    <font>
      <name val="Calibri"/>
      <family val="2"/>
      <color theme="1"/>
      <sz val="11"/>
      <scheme val="minor"/>
    </font>
    <font>
      <b val="1"/>
      <sz val="14"/>
    </font>
    <font>
      <b val="1"/>
    </font>
    <font>
      <b val="1"/>
      <sz val="12"/>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2" borderId="1" applyAlignment="1" pivotButton="0" quotePrefix="0" xfId="0">
      <alignment horizontal="center"/>
    </xf>
    <xf numFmtId="0" fontId="2" fillId="0" borderId="1" pivotButton="0" quotePrefix="0" xfId="0"/>
    <xf numFmtId="0" fontId="0" fillId="0" borderId="1" pivotButton="0" quotePrefix="0" xfId="0"/>
    <xf numFmtId="3" fontId="2" fillId="0" borderId="1" pivotButton="0" quotePrefix="0" xfId="0"/>
    <xf numFmtId="0" fontId="0" fillId="0" borderId="1" applyAlignment="1" pivotButton="0" quotePrefix="0" xfId="0">
      <alignment horizontal="center"/>
    </xf>
    <xf numFmtId="3" fontId="0" fillId="0" borderId="1" applyAlignment="1" pivotButton="0" quotePrefix="0" xfId="0">
      <alignment horizontal="right"/>
    </xf>
    <xf numFmtId="4" fontId="0" fillId="0" borderId="1" applyAlignment="1" pivotButton="0" quotePrefix="0" xfId="0">
      <alignment horizontal="right"/>
    </xf>
    <xf numFmtId="3" fontId="2" fillId="0" borderId="0" pivotButton="0" quotePrefix="0" xfId="0"/>
    <xf numFmtId="3" fontId="0" fillId="0" borderId="0" pivotButton="0" quotePrefix="0" xfId="0"/>
    <xf numFmtId="0" fontId="2" fillId="2" borderId="0" pivotButton="0" quotePrefix="0" xfId="0"/>
    <xf numFmtId="3" fontId="2" fillId="2" borderId="0" pivotButton="0" quotePrefix="0" xfId="0"/>
    <xf numFmtId="169" fontId="0" fillId="0" borderId="0" pivotButton="0" quotePrefix="0" xfId="0"/>
    <xf numFmtId="0" fontId="0" fillId="0" borderId="0" applyAlignment="1" pivotButton="0" quotePrefix="0" xfId="0">
      <alignment vertical="top" wrapText="1"/>
    </xf>
    <xf numFmtId="164" fontId="0" fillId="3" borderId="0" pivotButton="0" quotePrefix="0" xfId="0"/>
    <xf numFmtId="3" fontId="0" fillId="3" borderId="0" pivotButton="0" quotePrefix="0" xfId="0"/>
    <xf numFmtId="165" fontId="0" fillId="3" borderId="0" pivotButton="0" quotePrefix="0" xfId="0"/>
    <xf numFmtId="166" fontId="0" fillId="3" borderId="0" pivotButton="0" quotePrefix="0" xfId="0"/>
    <xf numFmtId="164" fontId="0" fillId="0" borderId="0" pivotButton="0" quotePrefix="0" xfId="0"/>
    <xf numFmtId="167" fontId="0" fillId="0" borderId="0" pivotButton="0" quotePrefix="0" xfId="0"/>
    <xf numFmtId="168" fontId="2"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8" customWidth="1" min="1" max="1"/>
    <col width="80" customWidth="1" min="2" max="2"/>
  </cols>
  <sheetData>
    <row r="1">
      <c r="A1" s="1" t="inlineStr">
        <is>
          <t>DD FORM 1391 COST ESTIMATE</t>
        </is>
      </c>
    </row>
    <row r="3">
      <c r="A3" s="2" t="inlineStr">
        <is>
          <t>Building</t>
        </is>
      </c>
      <c r="B3" t="inlineStr">
        <is>
          <t>Bldg 1024</t>
        </is>
      </c>
    </row>
    <row r="4">
      <c r="A4" s="2" t="inlineStr">
        <is>
          <t>iNFADS Description</t>
        </is>
      </c>
      <c r="B4" t="inlineStr">
        <is>
          <t>MULTI PURPOSE BEQ/BOQ/CO HQS</t>
        </is>
      </c>
    </row>
    <row r="5">
      <c r="A5" s="2" t="inlineStr">
        <is>
          <t>Primary CCN</t>
        </is>
      </c>
      <c r="B5" t="n">
        <v>14345</v>
      </c>
    </row>
    <row r="6">
      <c r="A6" s="2" t="inlineStr">
        <is>
          <t>RPUID</t>
        </is>
      </c>
      <c r="B6" t="n">
        <v>148675</v>
      </c>
    </row>
    <row r="7">
      <c r="A7" s="2" t="inlineStr">
        <is>
          <t>PAX ID</t>
        </is>
      </c>
      <c r="B7" t="n">
        <v>387356</v>
      </c>
    </row>
    <row r="8">
      <c r="A8" s="2" t="inlineStr">
        <is>
          <t>Fi Web Project Number</t>
        </is>
      </c>
      <c r="B8" t="inlineStr">
        <is>
          <t>BU26PPE70M</t>
        </is>
      </c>
    </row>
    <row r="9">
      <c r="A9" s="2" t="inlineStr">
        <is>
          <t>Installation/UIC</t>
        </is>
      </c>
      <c r="B9" t="inlineStr">
        <is>
          <t>M67400 (SH)</t>
        </is>
      </c>
    </row>
    <row r="10">
      <c r="A10" s="2" t="inlineStr">
        <is>
          <t>Location</t>
        </is>
      </c>
      <c r="B10" t="inlineStr">
        <is>
          <t>MARINE CORPS BASE, CAMP SMEDLEY BUTLER (CAMP SCHWAB-6009), HENOKO OKINAWA, JAPAN</t>
        </is>
      </c>
    </row>
    <row r="11">
      <c r="A11" s="2" t="inlineStr">
        <is>
          <t>Project Title</t>
        </is>
      </c>
      <c r="B11" t="inlineStr">
        <is>
          <t>Repair Bldg 1024, Armory Expansion &amp; Admin Conversion</t>
        </is>
      </c>
    </row>
    <row r="12">
      <c r="A12" s="2" t="inlineStr">
        <is>
          <t>Fund Type</t>
        </is>
      </c>
      <c r="B12" t="inlineStr">
        <is>
          <t>O&amp;MMC</t>
        </is>
      </c>
    </row>
    <row r="13">
      <c r="A13" s="2" t="inlineStr">
        <is>
          <t>Acquisition Method</t>
        </is>
      </c>
      <c r="B13" t="inlineStr">
        <is>
          <t>Design-Build (DB)</t>
        </is>
      </c>
    </row>
    <row r="14">
      <c r="A14" s="2" t="inlineStr">
        <is>
          <t>Total Building GSF (iNFADS)</t>
        </is>
      </c>
      <c r="B14" t="n">
        <v>84861</v>
      </c>
    </row>
    <row r="15">
      <c r="A15" s="2" t="inlineStr">
        <is>
          <t>PRV (iNFADS)</t>
        </is>
      </c>
      <c r="B15" t="n">
        <v>96523347</v>
      </c>
    </row>
    <row r="16">
      <c r="A16" s="2" t="inlineStr">
        <is>
          <t>LSH (2.5% of PRV)</t>
        </is>
      </c>
      <c r="B16" t="n">
        <v>2413084</v>
      </c>
    </row>
    <row r="17">
      <c r="A17" s="2" t="inlineStr">
        <is>
          <t>Locked Total Project Cost ($)</t>
        </is>
      </c>
      <c r="B17" t="n">
        <v>10413140</v>
      </c>
    </row>
    <row r="18">
      <c r="A18" s="2" t="inlineStr">
        <is>
          <t>Locked TPC ($000, printed)</t>
        </is>
      </c>
      <c r="B18" t="n">
        <v>10413</v>
      </c>
    </row>
    <row r="19">
      <c r="A19" s="2" t="inlineStr">
        <is>
          <t>Prepared By</t>
        </is>
      </c>
      <c r="B19" t="inlineStr">
        <is>
          <t>Anthony L. Potter, Facilities Planner, MCIPAC G-F PPE</t>
        </is>
      </c>
    </row>
    <row r="20">
      <c r="A20" s="2" t="inlineStr">
        <is>
          <t>Signing Officer (PWO)</t>
        </is>
      </c>
      <c r="B20" t="inlineStr">
        <is>
          <t>CDR Justus K. O'Connor</t>
        </is>
      </c>
    </row>
    <row r="21">
      <c r="A21" s="2" t="inlineStr">
        <is>
          <t>Government Client</t>
        </is>
      </c>
      <c r="B21" t="inlineStr">
        <is>
          <t>Bil Hawkins, P.E., PMP, Deputy PWO</t>
        </is>
      </c>
    </row>
    <row r="22">
      <c r="A22" s="2" t="inlineStr">
        <is>
          <t>Reviewer</t>
        </is>
      </c>
      <c r="B22" t="inlineStr">
        <is>
          <t>Robert W. Kaye, RA, Planning Director NAVFAC FEAD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60" customWidth="1" min="1" max="1"/>
    <col width="6" customWidth="1" min="2" max="2"/>
    <col width="12" customWidth="1" min="3" max="3"/>
    <col width="12" customWidth="1" min="4" max="4"/>
    <col width="14" customWidth="1" min="5" max="5"/>
  </cols>
  <sheetData>
    <row r="1">
      <c r="A1" s="3" t="inlineStr">
        <is>
          <t>9. Cost Estimates</t>
        </is>
      </c>
    </row>
    <row r="3">
      <c r="A3" s="4" t="inlineStr">
        <is>
          <t>Item</t>
        </is>
      </c>
      <c r="B3" s="4" t="inlineStr">
        <is>
          <t>UM</t>
        </is>
      </c>
      <c r="C3" s="4" t="inlineStr">
        <is>
          <t>Quantity</t>
        </is>
      </c>
      <c r="D3" s="4" t="inlineStr">
        <is>
          <t>Unit Cost</t>
        </is>
      </c>
      <c r="E3" s="4" t="inlineStr">
        <is>
          <t>Cost ($000)</t>
        </is>
      </c>
    </row>
    <row r="4">
      <c r="A4" s="5" t="inlineStr">
        <is>
          <t>PRIMARY FACILITY</t>
        </is>
      </c>
      <c r="B4" s="6" t="n"/>
      <c r="C4" s="6" t="n"/>
      <c r="D4" s="6" t="n"/>
      <c r="E4" s="7">
        <f>BACKUP!B13</f>
        <v/>
      </c>
    </row>
    <row r="5">
      <c r="A5" s="6" t="inlineStr">
        <is>
          <t xml:space="preserve">  MULTI PURPOSE BEQ/BOQ/CO HQS FAC#1024 (Conversion / Alteration)</t>
        </is>
      </c>
      <c r="B5" s="8" t="inlineStr">
        <is>
          <t>SF</t>
        </is>
      </c>
      <c r="C5" s="9">
        <f>BACKUP!B5</f>
        <v/>
      </c>
      <c r="D5" s="10">
        <f>BACKUP!B11</f>
        <v/>
      </c>
      <c r="E5" s="9">
        <f>ROUND(C5*D5/1000,0)</f>
        <v/>
      </c>
    </row>
    <row r="7">
      <c r="A7" s="2" t="inlineStr">
        <is>
          <t>Subtotal</t>
        </is>
      </c>
      <c r="E7" s="11">
        <f>BACKUP!B13</f>
        <v/>
      </c>
    </row>
    <row r="8">
      <c r="A8" t="inlineStr">
        <is>
          <t>Contingency (10.0%)</t>
        </is>
      </c>
      <c r="E8" s="12">
        <f>ROUND(BACKUP!B17/1000,0)</f>
        <v/>
      </c>
    </row>
    <row r="9">
      <c r="A9" s="2" t="inlineStr">
        <is>
          <t>Total Contract Cost</t>
        </is>
      </c>
      <c r="E9" s="11">
        <f>ROUND(BACKUP!B18/1000,0)</f>
        <v/>
      </c>
    </row>
    <row r="10">
      <c r="A10" t="inlineStr">
        <is>
          <t>Supervision, Inspection and Overhead (8.0%)</t>
        </is>
      </c>
      <c r="E10" s="12">
        <f>ROUND(BACKUP!B19/1000,0)</f>
        <v/>
      </c>
    </row>
    <row r="11">
      <c r="A11" s="2" t="inlineStr">
        <is>
          <t>Total Funded Cost</t>
        </is>
      </c>
      <c r="E11" s="11">
        <f>ROUND(BACKUP!B20/1000,0)</f>
        <v/>
      </c>
    </row>
    <row r="12">
      <c r="A12" t="inlineStr">
        <is>
          <t>Design-Build - Design Cost (4.0%)</t>
        </is>
      </c>
      <c r="E12" s="12">
        <f>ROUND(BACKUP!B21/1000,0)</f>
        <v/>
      </c>
    </row>
    <row r="13">
      <c r="A13" s="13" t="inlineStr">
        <is>
          <t>TOTAL PROJECT COST</t>
        </is>
      </c>
      <c r="E13" s="14">
        <f>BACKUP!B23</f>
        <v/>
      </c>
    </row>
    <row r="14">
      <c r="A14" t="inlineStr">
        <is>
          <t>Planning and Design (6.0%) (NON ADD)</t>
        </is>
      </c>
      <c r="E14" s="15">
        <f>ROUND(BACKUP!B24/1000,0)</f>
        <v/>
      </c>
    </row>
    <row r="15">
      <c r="A15" t="inlineStr">
        <is>
          <t>Equipment from Other Appropriations (NON ADD)</t>
        </is>
      </c>
      <c r="E15" s="15" t="n">
        <v>0</v>
      </c>
    </row>
    <row r="17">
      <c r="A17" s="2" t="inlineStr">
        <is>
          <t>Classification of Work</t>
        </is>
      </c>
    </row>
    <row r="18">
      <c r="A18" t="inlineStr">
        <is>
          <t xml:space="preserve">  Construction</t>
        </is>
      </c>
      <c r="E18" s="12">
        <f>E13</f>
        <v/>
      </c>
    </row>
    <row r="19">
      <c r="A19" s="2" t="inlineStr">
        <is>
          <t>Special Interest Codes</t>
        </is>
      </c>
    </row>
    <row r="20">
      <c r="A20" t="inlineStr">
        <is>
          <t xml:space="preserve">  Restoration and Modernization</t>
        </is>
      </c>
      <c r="E20" s="12">
        <f>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10" customWidth="1" min="1" max="1"/>
  </cols>
  <sheetData>
    <row r="1">
      <c r="A1" s="3" t="inlineStr">
        <is>
          <t>10. Description of Proposed Construction</t>
        </is>
      </c>
    </row>
    <row r="3" ht="800" customHeight="1">
      <c r="A3" s="16" t="inlineStr">
        <is>
          <t>Building 1024 is a multipurpose facility (Primary: Small Arms Storage) built in
  1991. After repairs, this building will be in use for a minimum of 20 years.
  This project provides for the comprehensive renovation of the first floor of
  Building SCH-1024 to create a consolidated armory complex and support operational
  facilities and includes the replacement of building-wide end-of-life mechanical
  systems. A total of five (5) GSA Class 5 vault doors will be procured and installed.
  The primary scope is the creation of multiple high-security areas. This includes
  constructing two distinct armory facilities, each secured by two GSA Class 5 vault
  doors. Within the armories, drop ceilings and bathroom fixtures will be removed,
  plumbing lines capped, and all ceiling-mounted fixtures realigned. A new multi-zone
  Electronic Security System (IDS) and new fire hose cabinets will be installed. A
  separate Open Storage Secret (OSS) area will be established through the complete
  demolition of the former locker and sauna areas; its entrance will be secured with
  one GSA Class 5 vault door and require structural reinforcement of the concrete
  opening. The OSS will be equipped with dedicated HVAC and a lockable SIPRNET
  enclosure, which will be connected via a new fiber optic run from the main telecom
  room. A COMSEC storage vault will also be established, secured with a GSA-approved
  combination lock.
  Supporting renovations include the conversion of the former gym into new
  administrative workspaces; the conversion of the laundry room into an admin space;
  and the establishment of a new indoor weapons cleaning area with dedicated exhaust
  within the former rec room. The public restroom will be restored with new fixtures,
  and new water fountains will be installed.
  Exterior work includes creating new weapons, issuing ports with ballistic-rated
  windows and metal shelves, while infilling other openings with CMU. To support these
  ports, new concrete pads and landings, extended walkways with railings, and steel-
  frame overhead covers will be constructed; additionally, a metal deck with railings
  will be installed to provide a level surface over a sloped area at one issue port. A
  new outdoor steel-frame pavilion for weapons cleaning will also be built, requiring
  associated tree removal and site drainage improvements.
  A complete overhaul of the telecommunications infrastructure will be performed,
  beginning with the removal of all existing first-floor cabling. A new, fully
  equipped Telecommunications Room will be constructed within the former rec room,
  complete with a raised floor, racks, UPS, and EPO button. The project will also
  replace the building's main air-cooled chillers and circulating pumps, followed by a
  full Test, Adjust, and Balance (TAB) of the HVAC systems on all four floors. The
  scope includes provisions for the survey and targeted abatement of identified
  asbestos-containing materials. All work will be performed to meet current UFC, life-
  safety, and physical security standards. Minor deficiencies identified during the
  project scope will also be repaired.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50" customWidth="1" min="1" max="1"/>
    <col width="18" customWidth="1" min="2" max="2"/>
  </cols>
  <sheetData>
    <row r="1">
      <c r="A1" s="3" t="inlineStr">
        <is>
          <t>BACKUP - Locked TPC back-solver (drives BLOCK9 face)</t>
        </is>
      </c>
    </row>
    <row r="3">
      <c r="A3" s="13" t="inlineStr">
        <is>
          <t>INPUTS (locked)</t>
        </is>
      </c>
    </row>
    <row r="4">
      <c r="A4" s="2" t="inlineStr">
        <is>
          <t>Locked TPC ($)</t>
        </is>
      </c>
      <c r="B4" s="17" t="n">
        <v>10413140</v>
      </c>
    </row>
    <row r="5">
      <c r="A5" s="2" t="inlineStr">
        <is>
          <t>GSF (iNFADS, locked Quantity)</t>
        </is>
      </c>
      <c r="B5" s="18" t="n">
        <v>84861</v>
      </c>
    </row>
    <row r="6">
      <c r="A6" s="2" t="inlineStr">
        <is>
          <t>PRV ($, iNFADS)</t>
        </is>
      </c>
      <c r="B6" s="17" t="n">
        <v>96523347</v>
      </c>
    </row>
    <row r="7">
      <c r="A7" s="2" t="inlineStr">
        <is>
          <t>LSH ($, 2.5% of PRV)</t>
        </is>
      </c>
      <c r="B7" s="17">
        <f>B6*0.025</f>
        <v/>
      </c>
    </row>
    <row r="8">
      <c r="A8" s="2" t="inlineStr">
        <is>
          <t>Multiplier (1.10 x 1.08 x 1.04)</t>
        </is>
      </c>
      <c r="B8" s="19" t="n">
        <v>1.23552</v>
      </c>
    </row>
    <row r="10">
      <c r="A10" s="13" t="inlineStr">
        <is>
          <t>PAX ENTRY (what Anthony types into Block 9)</t>
        </is>
      </c>
    </row>
    <row r="11">
      <c r="A11" s="2" t="inlineStr">
        <is>
          <t>Unit Cost ($/SF) - calibrated to land Locked TPC at $000</t>
        </is>
      </c>
      <c r="B11" s="20" t="n">
        <v>99.31999999999999</v>
      </c>
    </row>
    <row r="12">
      <c r="A12" s="2" t="inlineStr">
        <is>
          <t>Items Table Subtotal (raw $) = GSF x UC</t>
        </is>
      </c>
      <c r="B12" s="21">
        <f>B5*B11</f>
        <v/>
      </c>
    </row>
    <row r="13">
      <c r="A13" s="2" t="inlineStr">
        <is>
          <t>Items Table Subtotal ($000)</t>
        </is>
      </c>
      <c r="B13" s="12">
        <f>ROUND(B12/1000,0)</f>
        <v/>
      </c>
    </row>
    <row r="15">
      <c r="A15" s="13" t="inlineStr">
        <is>
          <t>PAX ROLLUP (computed from items table subtotal, raw $)</t>
        </is>
      </c>
    </row>
    <row r="16">
      <c r="A16" s="2" t="inlineStr">
        <is>
          <t>Subtotal ($)</t>
        </is>
      </c>
      <c r="B16" s="21">
        <f>B12</f>
        <v/>
      </c>
    </row>
    <row r="17">
      <c r="A17" s="2" t="inlineStr">
        <is>
          <t>Contingency (10.0%)</t>
        </is>
      </c>
      <c r="B17" s="21">
        <f>B16*0.10</f>
        <v/>
      </c>
    </row>
    <row r="18">
      <c r="A18" s="2" t="inlineStr">
        <is>
          <t>Total Contract Cost</t>
        </is>
      </c>
      <c r="B18" s="21">
        <f>B16+B17</f>
        <v/>
      </c>
    </row>
    <row r="19">
      <c r="A19" s="2" t="inlineStr">
        <is>
          <t>SIOH (8.0%)</t>
        </is>
      </c>
      <c r="B19" s="21">
        <f>B18*0.08</f>
        <v/>
      </c>
    </row>
    <row r="20">
      <c r="A20" s="2" t="inlineStr">
        <is>
          <t>Total Funded Cost</t>
        </is>
      </c>
      <c r="B20" s="21">
        <f>B18+B19</f>
        <v/>
      </c>
    </row>
    <row r="21">
      <c r="A21" s="2" t="inlineStr">
        <is>
          <t>Design-Build Design (4.0%)</t>
        </is>
      </c>
      <c r="B21" s="21">
        <f>B20*0.04</f>
        <v/>
      </c>
    </row>
    <row r="22">
      <c r="A22" s="2" t="inlineStr">
        <is>
          <t>Total Project Cost ($)</t>
        </is>
      </c>
      <c r="B22" s="21">
        <f>B20+B21</f>
        <v/>
      </c>
    </row>
    <row r="23">
      <c r="A23" s="2" t="inlineStr">
        <is>
          <t>Total Project Cost ($000)</t>
        </is>
      </c>
      <c r="B23" s="12">
        <f>ROUND(B22/1000,0)</f>
        <v/>
      </c>
    </row>
    <row r="24">
      <c r="A24" s="2" t="inlineStr">
        <is>
          <t>Planning and Design (6.0%) (NON ADD)</t>
        </is>
      </c>
      <c r="B24" s="21">
        <f>B22*0.06</f>
        <v/>
      </c>
    </row>
    <row r="26">
      <c r="A26" s="13" t="inlineStr">
        <is>
          <t>RECONCILIATION</t>
        </is>
      </c>
    </row>
    <row r="27">
      <c r="A27" t="inlineStr">
        <is>
          <t>Workbook TPC ($)</t>
        </is>
      </c>
      <c r="B27" s="21">
        <f>B22</f>
        <v/>
      </c>
    </row>
    <row r="28">
      <c r="A28" t="inlineStr">
        <is>
          <t>Locked TPC ($)</t>
        </is>
      </c>
      <c r="B28" s="21">
        <f>B4</f>
        <v/>
      </c>
    </row>
    <row r="29">
      <c r="A29" t="inlineStr">
        <is>
          <t>Delta ($)</t>
        </is>
      </c>
      <c r="B29" s="22">
        <f>B27-B28</f>
        <v/>
      </c>
    </row>
    <row r="30">
      <c r="A30" t="inlineStr">
        <is>
          <t>Workbook TPC ($000)</t>
        </is>
      </c>
      <c r="B30" s="12">
        <f>B23</f>
        <v/>
      </c>
    </row>
    <row r="31">
      <c r="A31" t="inlineStr">
        <is>
          <t>Locked TPC ($000, printed)</t>
        </is>
      </c>
      <c r="B31" s="12">
        <f>ROUND(B4/1000,0)</f>
        <v/>
      </c>
    </row>
    <row r="32">
      <c r="A32" s="2" t="inlineStr">
        <is>
          <t>Delta ($000) - MUST BE 0</t>
        </is>
      </c>
      <c r="B32" s="23">
        <f>B30-B31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8" customWidth="1" min="1" max="1"/>
    <col width="14" customWidth="1" min="2" max="2"/>
    <col width="80" customWidth="1" min="3" max="3"/>
  </cols>
  <sheetData>
    <row r="1">
      <c r="A1" s="3" t="inlineStr">
        <is>
          <t>RATES (PAX Associated Costs and project parameters)</t>
        </is>
      </c>
    </row>
    <row r="3">
      <c r="A3" s="13" t="inlineStr">
        <is>
          <t>PAX Associated Costs (pre-loaded by operator)</t>
        </is>
      </c>
    </row>
    <row r="4">
      <c r="A4" s="2" t="inlineStr">
        <is>
          <t>Contingency</t>
        </is>
      </c>
      <c r="B4" s="24" t="n">
        <v>0.1</v>
      </c>
      <c r="C4" t="inlineStr">
        <is>
          <t>FSRM program-directed; CRB Guidelines May 2024 (REV #15)</t>
        </is>
      </c>
    </row>
    <row r="5">
      <c r="A5" s="2" t="inlineStr">
        <is>
          <t>Supervision Inspection and Overhead (SIOH)</t>
        </is>
      </c>
      <c r="B5" s="24" t="n">
        <v>0.08</v>
      </c>
      <c r="C5" t="inlineStr">
        <is>
          <t>OCONUS FSRM customer-directed for MCIPAC G-F</t>
        </is>
      </c>
    </row>
    <row r="6">
      <c r="A6" s="2" t="inlineStr">
        <is>
          <t>Design Build (DBD) - REQUIRED</t>
        </is>
      </c>
      <c r="B6" s="24" t="n">
        <v>0.04</v>
      </c>
      <c r="C6" t="inlineStr">
        <is>
          <t>UFC 3-730-01 (2024) - applied after Total Funded Cost</t>
        </is>
      </c>
    </row>
    <row r="7">
      <c r="A7" s="2" t="inlineStr">
        <is>
          <t>Planning and Design (P&amp;D) (NON ADD)</t>
        </is>
      </c>
      <c r="B7" s="24" t="n">
        <v>0.06</v>
      </c>
      <c r="C7" t="inlineStr">
        <is>
          <t>Does not roll into TPC</t>
        </is>
      </c>
    </row>
    <row r="9">
      <c r="A9" s="13" t="inlineStr">
        <is>
          <t>Project parameters</t>
        </is>
      </c>
    </row>
    <row r="10">
      <c r="A10" s="2" t="inlineStr">
        <is>
          <t>Area Cost Factor (ACF)</t>
        </is>
      </c>
      <c r="B10" t="n">
        <v>1.85</v>
      </c>
      <c r="C10" t="inlineStr">
        <is>
          <t>UFC 3-701-01 w/Change 7 (25 Jul 2025), Table 4-1, M67400-0004 OCONUS Okinawa</t>
        </is>
      </c>
    </row>
    <row r="11">
      <c r="A11" s="2" t="inlineStr">
        <is>
          <t>LSH Rate (% of PRV)</t>
        </is>
      </c>
      <c r="B11" s="24" t="n">
        <v>0.025</v>
      </c>
      <c r="C11" t="inlineStr">
        <is>
          <t>Local direction at startup</t>
        </is>
      </c>
    </row>
    <row r="12">
      <c r="A12" s="2" t="inlineStr">
        <is>
          <t>JPY/USD Planning Rate</t>
        </is>
      </c>
      <c r="B12" t="n">
        <v>150.4415</v>
      </c>
      <c r="C12" t="inlineStr">
        <is>
          <t>FY26 budget planning rate</t>
        </is>
      </c>
    </row>
    <row r="13">
      <c r="A13" s="2" t="inlineStr">
        <is>
          <t>JPY/USD H.10 Rate (live)</t>
        </is>
      </c>
      <c r="B13" t="inlineStr"/>
      <c r="C13" t="inlineStr">
        <is>
          <t>Verify Federal Reserve H.10 on date of PAX submission</t>
        </is>
      </c>
    </row>
    <row r="14">
      <c r="A14" s="2" t="inlineStr">
        <is>
          <t>Escalation (annual)</t>
        </is>
      </c>
      <c r="B14" s="24" t="n">
        <v>0.021</v>
      </c>
      <c r="C14" t="inlineStr">
        <is>
          <t>OSD FY25 published rate</t>
        </is>
      </c>
    </row>
    <row r="15">
      <c r="A15" s="2" t="inlineStr">
        <is>
          <t>General Requirements</t>
        </is>
      </c>
      <c r="B15" s="24" t="n">
        <v>0.1</v>
      </c>
      <c r="C15" t="inlineStr">
        <is>
          <t>FSRM program-directed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2" customWidth="1" min="1" max="1"/>
    <col width="18" customWidth="1" min="2" max="2"/>
    <col width="70" customWidth="1" min="3" max="3"/>
  </cols>
  <sheetData>
    <row r="1">
      <c r="A1" s="3" t="inlineStr">
        <is>
          <t>REFERENCES (authority cites)</t>
        </is>
      </c>
    </row>
    <row r="3">
      <c r="A3" s="13" t="inlineStr">
        <is>
          <t>Document</t>
        </is>
      </c>
      <c r="B3" s="13" t="inlineStr">
        <is>
          <t>Date / Edition</t>
        </is>
      </c>
      <c r="C3" s="13" t="inlineStr">
        <is>
          <t>Authority for</t>
        </is>
      </c>
    </row>
    <row r="4">
      <c r="A4" s="2" t="inlineStr">
        <is>
          <t>MCO 11000.5</t>
        </is>
      </c>
      <c r="B4" t="inlineStr">
        <is>
          <t>03 Jun 2016</t>
        </is>
      </c>
      <c r="C4" t="inlineStr">
        <is>
          <t>Real Property FSRM Program</t>
        </is>
      </c>
    </row>
    <row r="5">
      <c r="A5" s="2" t="inlineStr">
        <is>
          <t>MCO 11000.12</t>
        </is>
      </c>
      <c r="B5" t="inlineStr">
        <is>
          <t>08 Sep 2014</t>
        </is>
      </c>
      <c r="C5" t="inlineStr">
        <is>
          <t>Real Property Facilities Manual</t>
        </is>
      </c>
    </row>
    <row r="6">
      <c r="A6" s="2" t="inlineStr">
        <is>
          <t>CRB Guidelines (REV #15)</t>
        </is>
      </c>
      <c r="B6" t="inlineStr">
        <is>
          <t>May 2024</t>
        </is>
      </c>
      <c r="C6" t="inlineStr">
        <is>
          <t>Block 9 line-item sequencing</t>
        </is>
      </c>
    </row>
    <row r="7">
      <c r="A7" s="2" t="inlineStr">
        <is>
          <t>UFC 3-701-01 with Change 7</t>
        </is>
      </c>
      <c r="B7" t="inlineStr">
        <is>
          <t>25 Jul 2025</t>
        </is>
      </c>
      <c r="C7" t="inlineStr">
        <is>
          <t>PUC and ACF tables, Equation 3-1 PRV formula</t>
        </is>
      </c>
    </row>
    <row r="8">
      <c r="A8" s="2" t="inlineStr">
        <is>
          <t>UFC 3-730-01</t>
        </is>
      </c>
      <c r="B8" t="inlineStr">
        <is>
          <t>2024</t>
        </is>
      </c>
      <c r="C8" t="inlineStr">
        <is>
          <t>Design-Build contracting; DB Design 4% applied after TFC</t>
        </is>
      </c>
    </row>
    <row r="9">
      <c r="A9" s="2" t="inlineStr">
        <is>
          <t>JED Cost Estimating Guide</t>
        </is>
      </c>
      <c r="B9" t="inlineStr">
        <is>
          <t>Nov 2025</t>
        </is>
      </c>
      <c r="C9" t="inlineStr">
        <is>
          <t>Cost estimating methodology</t>
        </is>
      </c>
    </row>
    <row r="10">
      <c r="A10" s="2" t="inlineStr">
        <is>
          <t>Japan District Design Guide v9</t>
        </is>
      </c>
      <c r="B10" t="inlineStr">
        <is>
          <t>April 2025</t>
        </is>
      </c>
      <c r="C10" t="inlineStr">
        <is>
          <t>Okinawa-specific design criteria</t>
        </is>
      </c>
    </row>
    <row r="12">
      <c r="A12" s="13" t="inlineStr">
        <is>
          <t>NOT CITED</t>
        </is>
      </c>
    </row>
    <row r="13">
      <c r="A13" t="inlineStr">
        <is>
          <t>NAVFAC 11010.44E</t>
        </is>
      </c>
      <c r="B13" t="inlineStr">
        <is>
          <t>INACTIVE</t>
        </is>
      </c>
      <c r="C13" t="inlineStr">
        <is>
          <t>Inactivated by 1987 issuance; not citable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2026-04-29T07:16:44Z</dcterms:created>
  <dcterms:modified xsi:type="dcterms:W3CDTF">2026-04-29T07:16:44Z</dcterms:modified>
</cp:coreProperties>
</file>