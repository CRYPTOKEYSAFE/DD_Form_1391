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metadata/core-properties" Target="docProps/core0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usmc-my.sharepoint-mil.us/personal/anthony_l_potter_ctr_usmc_mil/Documents/Desktop/COST_ESTIMATING/3314/"/>
    </mc:Choice>
  </mc:AlternateContent>
  <xr:revisionPtr revIDLastSave="38" documentId="11_5D8258A02605FF729E6641BA64FB30C48F9676AC" xr6:coauthVersionLast="47" xr6:coauthVersionMax="47" xr10:uidLastSave="{A4091D23-3053-4CD5-AB11-6425772434D2}"/>
  <bookViews>
    <workbookView xWindow="-120" yWindow="90" windowWidth="29040" windowHeight="15510" tabRatio="500" xr2:uid="{00000000-000D-0000-FFFF-FFFF00000000}"/>
  </bookViews>
  <sheets>
    <sheet name="ESTIMATE" sheetId="1" r:id="rId1"/>
    <sheet name="SCOPE_DETAIL" sheetId="2" r:id="rId2"/>
    <sheet name="PARAMETERS" sheetId="3" r:id="rId3"/>
    <sheet name="DD1391_BLOCK9" sheetId="4" r:id="rId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7" i="4" l="1"/>
  <c r="B13" i="4"/>
  <c r="B11" i="4"/>
  <c r="B8" i="4"/>
  <c r="B40" i="3"/>
  <c r="B39" i="3"/>
  <c r="B21" i="3"/>
  <c r="G48" i="2"/>
  <c r="H48" i="2" s="1"/>
  <c r="G47" i="2"/>
  <c r="H47" i="2" s="1"/>
  <c r="G46" i="2"/>
  <c r="H46" i="2" s="1"/>
  <c r="G45" i="2"/>
  <c r="H45" i="2" s="1"/>
  <c r="H44" i="2"/>
  <c r="G44" i="2"/>
  <c r="G43" i="2"/>
  <c r="H43" i="2" s="1"/>
  <c r="G40" i="2"/>
  <c r="H40" i="2" s="1"/>
  <c r="G39" i="2"/>
  <c r="H39" i="2" s="1"/>
  <c r="G38" i="2"/>
  <c r="H38" i="2" s="1"/>
  <c r="H35" i="2"/>
  <c r="G35" i="2"/>
  <c r="G34" i="2"/>
  <c r="G36" i="2" s="1"/>
  <c r="G32" i="2"/>
  <c r="B9" i="4" s="1"/>
  <c r="G31" i="2"/>
  <c r="H31" i="2" s="1"/>
  <c r="G30" i="2"/>
  <c r="H30" i="2" s="1"/>
  <c r="G27" i="2"/>
  <c r="H27" i="2" s="1"/>
  <c r="H26" i="2"/>
  <c r="G26" i="2"/>
  <c r="G23" i="2"/>
  <c r="G24" i="2" s="1"/>
  <c r="G22" i="2"/>
  <c r="H22" i="2" s="1"/>
  <c r="G21" i="2"/>
  <c r="H21" i="2" s="1"/>
  <c r="G20" i="2"/>
  <c r="H20" i="2" s="1"/>
  <c r="G17" i="2"/>
  <c r="H17" i="2" s="1"/>
  <c r="G15" i="2"/>
  <c r="B5" i="4" s="1"/>
  <c r="G14" i="2"/>
  <c r="H14" i="2" s="1"/>
  <c r="G13" i="2"/>
  <c r="H13" i="2" s="1"/>
  <c r="G12" i="2"/>
  <c r="H12" i="2" s="1"/>
  <c r="G9" i="2"/>
  <c r="H9" i="2" s="1"/>
  <c r="G7" i="2"/>
  <c r="G6" i="2"/>
  <c r="H6" i="2" s="1"/>
  <c r="G5" i="2"/>
  <c r="H5" i="2" s="1"/>
  <c r="B32" i="1"/>
  <c r="B31" i="1"/>
  <c r="B30" i="1"/>
  <c r="B29" i="1"/>
  <c r="B28" i="1"/>
  <c r="B33" i="1" s="1"/>
  <c r="B10" i="1"/>
  <c r="B7" i="4" l="1"/>
  <c r="H24" i="2"/>
  <c r="B10" i="4"/>
  <c r="H36" i="2"/>
  <c r="G10" i="2"/>
  <c r="G18" i="2"/>
  <c r="B12" i="4"/>
  <c r="H34" i="2"/>
  <c r="H7" i="2"/>
  <c r="H15" i="2"/>
  <c r="H23" i="2"/>
  <c r="H32" i="2"/>
  <c r="B3" i="4"/>
  <c r="B6" i="4" l="1"/>
  <c r="H18" i="2"/>
  <c r="B4" i="4"/>
  <c r="H10" i="2"/>
  <c r="B15" i="4"/>
  <c r="B16" i="4" s="1"/>
  <c r="G49" i="2"/>
  <c r="B5" i="1" l="1"/>
  <c r="B6" i="1" s="1"/>
  <c r="B7" i="1" s="1"/>
  <c r="B8" i="1" s="1"/>
  <c r="B9" i="1" s="1"/>
  <c r="B11" i="1" s="1"/>
  <c r="H49" i="2"/>
  <c r="B15" i="1" l="1"/>
  <c r="B18" i="4" s="1"/>
  <c r="B17" i="1"/>
  <c r="B20" i="4" s="1"/>
  <c r="B16" i="1"/>
  <c r="B19" i="4" s="1"/>
  <c r="B18" i="1" l="1"/>
  <c r="B21" i="4" l="1"/>
  <c r="B19" i="1"/>
  <c r="B22" i="4" s="1"/>
  <c r="B24" i="1"/>
  <c r="B20" i="1"/>
  <c r="B23" i="4" s="1"/>
</calcChain>
</file>

<file path=xl/sharedStrings.xml><?xml version="1.0" encoding="utf-8"?>
<sst xmlns="http://schemas.openxmlformats.org/spreadsheetml/2006/main" count="389" uniqueCount="312">
  <si>
    <t>SCH-3314  |  ROM COST ESTIMATE  |  LEVEL 3  |  FY27  |  PAX ID 387433  |  Fi Web BU26PPE71M</t>
  </si>
  <si>
    <t>A.  ROM FORMULA CHAIN</t>
  </si>
  <si>
    <t>COST ELEMENT</t>
  </si>
  <si>
    <t>AMOUNT ($)</t>
  </si>
  <si>
    <t>FORMULA / AUTHORITY</t>
  </si>
  <si>
    <t>1.  Base Direct (FY24 CONUS Pre-ACF)</t>
  </si>
  <si>
    <t xml:space="preserve"> =SCOPE_DETAIL!G41  [Grand total  |  sum of all scope group subtotals]</t>
  </si>
  <si>
    <t>2.  x Area Cost Factor (ACF)</t>
  </si>
  <si>
    <t xml:space="preserve"> =B5*PARAMETERS!B18  |  ACF 1.85, UFC 3-701-01 C7 (25 Jul 2025), Table 4-1 OCONUS, M67400-0004</t>
  </si>
  <si>
    <t>3.  x Compound Escalation Factor</t>
  </si>
  <si>
    <t xml:space="preserve"> =B6*PARAMETERS!B21  |  2.1%/yr OSD FY25 rate, FY24 to FY27, factor =(1.021)^3 = 1.064332</t>
  </si>
  <si>
    <t>4.  x (1 + General Requirements 10%)</t>
  </si>
  <si>
    <t xml:space="preserve"> =B7*(1+PARAMETERS!B22)  |  General Requirements 10%, FSRM program-directed</t>
  </si>
  <si>
    <t>5.  x (1 + Contingency 10%)  =  CONSTRUCTION SUBTOTAL</t>
  </si>
  <si>
    <t xml:space="preserve"> =ROUND(B8*(1+PARAMETERS!B23),0)  |  Contingency 10%, FSRM program-directed; UFS 3-740-05 (2 Feb 2026)</t>
  </si>
  <si>
    <t>6.  + Life Safety Hazard (LSH)</t>
  </si>
  <si>
    <t xml:space="preserve"> =PARAMETERS!B40  |  PRV $29,826,797 (iNFADS RPUID 50931) x 2.5% = $745,670; NAVFAC 11010.44E CH-1; MCO 11000.12</t>
  </si>
  <si>
    <t>CONSTRUCTION BASE</t>
  </si>
  <si>
    <t xml:space="preserve"> =B9+B10</t>
  </si>
  <si>
    <t>B.  PROGRAM ADDERS</t>
  </si>
  <si>
    <t>ADDER</t>
  </si>
  <si>
    <t>AUTHORITY</t>
  </si>
  <si>
    <t>Design  6.0%  x Construction Base</t>
  </si>
  <si>
    <t xml:space="preserve"> =B11*PARAMETERS!B25  |  Design 6%, NAVFAC agency-directed</t>
  </si>
  <si>
    <t>SIOH  8.0%  x Construction Base  (OCONUS FSRM Customer-Directed)</t>
  </si>
  <si>
    <t xml:space="preserve"> =B11*PARAMETERS!B26  |  SIOH 8.0%, OCONUS FSRM customer-directed; NOT standard 7.3%</t>
  </si>
  <si>
    <t>CM  4.0%  x Construction Base</t>
  </si>
  <si>
    <t xml:space="preserve"> =B11*PARAMETERS!B27  |  CM 4%, agency-directed</t>
  </si>
  <si>
    <t>TOTAL FUNDED COST</t>
  </si>
  <si>
    <t xml:space="preserve"> =ROUND(B11+B15+B16+B17,0)</t>
  </si>
  <si>
    <t>DB Design  4.0%  x Total Funded  (Applied AFTER Total Funded)</t>
  </si>
  <si>
    <t xml:space="preserve"> =B18*PARAMETERS!B28  |  DB Design 4%, UFC 3-730-01 (2024); applied AFTER Total Funded</t>
  </si>
  <si>
    <t>TOTAL PROJECT COST</t>
  </si>
  <si>
    <t xml:space="preserve"> =B18+B19</t>
  </si>
  <si>
    <t>C.  COST PER SQUARE FOOT</t>
  </si>
  <si>
    <t>METRIC</t>
  </si>
  <si>
    <t>VALUE</t>
  </si>
  <si>
    <t>BASIS</t>
  </si>
  <si>
    <t>Total Funded / Building GSF (28,699 SF iNFADS confirmed)</t>
  </si>
  <si>
    <t xml:space="preserve"> =B18/PARAMETERS!B29  |  Note: LSH dominates at large share of Total Funded due to $29.8M PRV vs targeted repair scope; see Section F Item 9</t>
  </si>
  <si>
    <t>D.  UNIFORMAT II SCOPE CHECK</t>
  </si>
  <si>
    <t>UNIFORMAT CODE</t>
  </si>
  <si>
    <t>DESCRIPTION</t>
  </si>
  <si>
    <t>D30</t>
  </si>
  <si>
    <t xml:space="preserve"> HVAC  |  Diffusers, Exhaust Fans, Duct Mods, Guard Room Systems, TAB</t>
  </si>
  <si>
    <t>C10</t>
  </si>
  <si>
    <t xml:space="preserve"> Interior Construction  |  Vault Door, Window Bars</t>
  </si>
  <si>
    <t>D50</t>
  </si>
  <si>
    <t xml:space="preserve"> Electrical  |  MNS, SIPR Rack, IDS Raceways</t>
  </si>
  <si>
    <t>F20</t>
  </si>
  <si>
    <t xml:space="preserve"> Demolition  |  SIPR Rack Removal, Vault Door Removal</t>
  </si>
  <si>
    <t>D20</t>
  </si>
  <si>
    <t xml:space="preserve"> Plumbing  |  Water Heater and DHW Recirculation Pumps</t>
  </si>
  <si>
    <t>TOTAL CHECK (must equal Base Direct B5)</t>
  </si>
  <si>
    <t xml:space="preserve"> =B28+B29+B30+B31+B32  |  Must equal SCOPE_DETAIL Grand Total exactly</t>
  </si>
  <si>
    <t>E.  VERSION HISTORY</t>
  </si>
  <si>
    <t>VERSION</t>
  </si>
  <si>
    <t>TOTAL FUNDED ($)</t>
  </si>
  <si>
    <t>DATE / NOTES</t>
  </si>
  <si>
    <t>F.  METHODOLOGY AND ASSUMPTIONS</t>
  </si>
  <si>
    <t>F-1  Estimate Level</t>
  </si>
  <si>
    <t xml:space="preserve"> Level 3 ROM per UFS 3-740-05 (2 Feb 2026), non-mandatory supplement, For Information Only. No accuracy percentage ranges are cited.</t>
  </si>
  <si>
    <t>F-2  Scope Basis</t>
  </si>
  <si>
    <t xml:space="preserve"> DD Form 1391 PAX ID 387433, Decision Point 2 COA 2 scope brief (GF PMO Recommended), FL1 engineering findings per J. Horine site visit 14 Mar 2026, and as-built drawing set (Apr 1994, 10 sheets). iNFADS Asset Evaluation RPUID 50931 (16 Apr 2020). 23 scope items across 8 groups: building-wide HVAC diffusers and ceilings, office duct modifications, exhaust fan replacement, system TAB, guard room HVAC, MNS junction box, vault and SECRET storage conversion, AHU replacement and mechanical room plumbing.</t>
  </si>
  <si>
    <t>F-3  Area Cost Factor</t>
  </si>
  <si>
    <t>F-4  Escalation</t>
  </si>
  <si>
    <t xml:space="preserve"> Escalation 2.1% per year, OSD FY25 published construction escalation rate, client-confirmed. Base year FY24 to target year FY27, 3 years. Compound factor =(1.021)^3 = 1.064332, live formula in PARAMETERS B21.</t>
  </si>
  <si>
    <t>F-5  General Requirements</t>
  </si>
  <si>
    <t xml:space="preserve"> General Requirements 10.0%, FSRM program-directed.</t>
  </si>
  <si>
    <t>F-6  Contingency</t>
  </si>
  <si>
    <t xml:space="preserve"> Contingency 10.0%, FSRM program-directed, Level 3 ROM. UFS 3-740-05 (2 Feb 2026).</t>
  </si>
  <si>
    <t>F-7  LSH Authority</t>
  </si>
  <si>
    <t xml:space="preserve"> Life Safety Hazard: iNFADS confirmed PRV of $29,826,797 governs per UFC 3-701-01 Section 3-2.1. RPUID 50931. LSH = $29,826,797 x 2.5% = $745,670. Authority: NAVFAC 11010.44E CH-1 (LSH rate 2.5%); MCO 11000.12 (08 Sep 2014) (Marine Corps LSH program requirement).</t>
  </si>
  <si>
    <t>F-8  Program Adders</t>
  </si>
  <si>
    <t xml:space="preserve"> Design 6.0%, NAVFAC agency-directed. SIOH 8.0%, OCONUS FSRM customer-directed  |  this 8.0% adder applied to Construction Base is separate from the SIOH factor 1.08 used in PRV Equation 3-1; they are different calculations. CM 4.0%, agency-directed. DB Design 4.0% applied after Total Funded per UFC 3-730-01 (2024).</t>
  </si>
  <si>
    <t>F-9  Unit Cost Basis</t>
  </si>
  <si>
    <t>F-10  Items Requiring Verification</t>
  </si>
  <si>
    <t xml:space="preserve"> Yellow-flagged items remaining: (1) JPY/USD exchange rate, PARAMETERS B33  |  pull Federal Reserve H.10 release at time of submission; rate was unverified at time of build.</t>
  </si>
  <si>
    <t>F-11  Methodology Deviations</t>
  </si>
  <si>
    <t xml:space="preserve"> PRV method: iNFADS confirmed value governs per UFC 3-701-01 Section 3-2.1. iNFADS PRV: $29,826,797 (RPUID 50931, Asset Evaluation 16 Apr 2020). Formula cross-check using UFC 3-701-01 w/Change 7 (25 Jul 2025) Table 3 and full Equation 3-1 (Q x PUC x ACF x HF x PD x SIOH x CF): 28,699 SF x $634.00/SF (FAC 6101, Small Unit HQ  |  best-supported Table 3 proxy for CCN 61072; FAC 6189 Squadron/BN HQ has no Table 3 PUC entry; formal RPAO crosswalk confirmation pending) = $18,195,166 x ACF 1.85 = $33,661,057 x HF 1.0 x PD 1.09 x SIOH 1.08 x CF 1.05 (combined factor 1.23606) = $41,607,086. Delta: iNFADS is $11,780,289 lower than the full C7 Equation 3-1 result. iNFADS value predates the C6 (15 May 2025) PUC update cycle. iNFADS governs regardless. iNFADS-based LSH: $745,670. Formula-based LSH: $1,040,177. Delta: $294,507.</t>
  </si>
  <si>
    <t>F-12  Prepared By</t>
  </si>
  <si>
    <t>F-13  Version History</t>
  </si>
  <si>
    <t>SCH-3314  |  SCOPE DETAIL &amp; QUANTITY TAKEOFF  |  BASE YEAR FY24 CONUS DIRECT COSTS  |  Fi Web BU26PPE71M</t>
  </si>
  <si>
    <t>Blue = user input (Qty, Unit Cost)  |  Black = formula (Extended = Qty x Unit Cost)  |  Green = cross-sheet  |  Yellow = flagged, pending confirmation  |  JPY rate: unconfirmed, verify before submission</t>
  </si>
  <si>
    <t>Item</t>
  </si>
  <si>
    <t>Scope Group</t>
  </si>
  <si>
    <t>Work Description</t>
  </si>
  <si>
    <t>Qty</t>
  </si>
  <si>
    <t>Unit</t>
  </si>
  <si>
    <t>Unit Cost
(FY24 CONUS)</t>
  </si>
  <si>
    <t>Extended
Cost (USD)</t>
  </si>
  <si>
    <t>JPY Equiv
(rate TBD)</t>
  </si>
  <si>
    <t>UNIFORMAT II
Level 2</t>
  </si>
  <si>
    <t>Cost Basis / Notes</t>
  </si>
  <si>
    <t>1.  HVAC: BUILDING-WIDE DIFFUSERS AND CEILING RESTORATION</t>
  </si>
  <si>
    <t>G1-HVAC DIFFUSERS</t>
  </si>
  <si>
    <t>Replace supply and return diffusers building-wide, type C2 ceiling diffuser (FL1: 22 EA, FL2: 56 EA, building total 78 EA)</t>
  </si>
  <si>
    <t>EA</t>
  </si>
  <si>
    <t>RS Means FY24 CONUS; ceiling diffuser supply/return R&amp;R, parametric; UFC 3-410-01</t>
  </si>
  <si>
    <t>Patch ceiling at diffuser locations, building-wide (78 locations); restore to match adjacent surfaces</t>
  </si>
  <si>
    <t>RS Means FY24 CONUS; ceiling patch per diffuser location, parametric</t>
  </si>
  <si>
    <t>SUBTOTAL - HVAC DIFFUSERS AND CEILINGS</t>
  </si>
  <si>
    <t>2.  HVAC: OFFICE DUCT MODIFICATIONS (ROOMS 105/106/107 CLUSTER)</t>
  </si>
  <si>
    <t>G2-OFFICE DUCT MODS</t>
  </si>
  <si>
    <t>Supply and return duct modifications to offices converted from storage, Rooms 105/106/107 cluster - install new branch ducts and diffusers, remove old exhaust fans from converted spaces</t>
  </si>
  <si>
    <t>LS</t>
  </si>
  <si>
    <t>RS Means FY24 CONUS; HVAC duct branch extension and diffuser addition for occupancy change, parametric; UFC 3-410-01 | ASHRAE 62.1</t>
  </si>
  <si>
    <t>SUBTOTAL - OFFICE DUCT MODIFICATIONS</t>
  </si>
  <si>
    <t>3.  HVAC: EXHAUST FAN REPLACEMENT</t>
  </si>
  <si>
    <t>G3-EXHAUST FANS</t>
  </si>
  <si>
    <t>Remove and replace standard ceiling exhaust fans building-wide - 25 EA (FE-1 through FE-17 excluding FE-5/FE-7/FE-8; FE-18 through FE-30 excluding FE-21/FE-22/FE-28)</t>
  </si>
  <si>
    <t>RS Means FY24 CONUS; ceiling exhaust fan R&amp;R, parametric; per AE drawing set as-built fan schedule confirmed</t>
  </si>
  <si>
    <t>Remove and replace straight sirocco fans (5 EA) - FE-5 (Rm 115 Mech), FE-8 (Rm 118-2/3), FE-21 (Rm 221/221A Men's Toilet), FE-22 (Rm 221A Men's Shower), FE-28 (Rm 241/242 Toilet/Shower)</t>
  </si>
  <si>
    <t>RS Means FY24 CONUS; centrifugal sirocco exhaust fan R&amp;R, parametric; larger centrifugal unit type per as-built schedule 111374</t>
  </si>
  <si>
    <t>FE-7, Room 118-1 Storage - remove and replace ceiling exhaust fan; confirmed in as-built ventilation equipment schedule (drawing 111374); exterior louver on drawing 111377 is separate architectural work excluded from this scope</t>
  </si>
  <si>
    <t>RS Means FY24 CONUS; standard ceiling exhaust fan R&amp;R, parametric; fan tag confirmed in as-built ventilation equipment schedule per drawing 111374; room confirmed as Storage per SH Plus floor plan 10/20/2025</t>
  </si>
  <si>
    <t>SUBTOTAL - EXHAUST FANS</t>
  </si>
  <si>
    <t>4.  HVAC: SYSTEM TEST, ADJUST, AND BALANCE (TAB)</t>
  </si>
  <si>
    <t>G4-SYSTEM BALANCING</t>
  </si>
  <si>
    <t>Test, Adjust, and Balance (TAB) full HVAC system, building-wide, after all work complete</t>
  </si>
  <si>
    <t>RS Means FY24 CONUS; full building TAB per AABC/NEBB standards, 28,699 SF, parametric; UFC 3-410-01</t>
  </si>
  <si>
    <t>SUBTOTAL - SYSTEM TAB</t>
  </si>
  <si>
    <t>5.  HVAC: DUTY GUARD ROOM SYSTEMS (ROOMS 102 AND 103)</t>
  </si>
  <si>
    <t>G5-GUARD ROOM HVAC</t>
  </si>
  <si>
    <t>Remove and replace minisplit systems, Duty Hut Room 102 and Duty Room 103 (2 EA, ductless split, approx 1.5 to 2 ton each)</t>
  </si>
  <si>
    <t>RS Means FY24 CONUS; ductless mini-split system R&amp;R, parametric; UFC 3-410-01</t>
  </si>
  <si>
    <t>Remove abandoned fancoils, outdoor units, refrigerant piping, and related HVAC equipment, guard room area (Rooms 102/103)</t>
  </si>
  <si>
    <t>RS Means FY24 CONUS; HVAC equipment demolition and disposal, parametric</t>
  </si>
  <si>
    <t>Remove and replace Heat Exchange Units (HEUs) - HEU-1 (Room 102 Duty Hut) and HEU-2 (Room 103 Duty Room) - heat recovery ventilators, 2 EA</t>
  </si>
  <si>
    <t>RS Means FY24 CONUS; heat recovery ventilator R&amp;R, parametric; per as-built ventilation plan 111377 HEU schedule confirmed</t>
  </si>
  <si>
    <t>Install new fresh air system serving both guard rooms (Rooms 102 and 103); replaces removed HEUs; provides conditioned fresh air to Duty Hut and Duty Room</t>
  </si>
  <si>
    <t>RS Means FY24 CONUS; ERV/HRV fresh air system with ductwork and controls, parametric; UFC 3-410-01 | ASHRAE 62.1</t>
  </si>
  <si>
    <t>SUBTOTAL - GUARD ROOM HVAC</t>
  </si>
  <si>
    <t>6.  MASS NOTIFICATION SYSTEM</t>
  </si>
  <si>
    <t>G6-MNS</t>
  </si>
  <si>
    <t>Install junction box for Mass Notification System (MNS), Mechanical Room 115, FL1</t>
  </si>
  <si>
    <t>RS Means FY24 CONUS; electrical junction box with conduit and connections, parametric; UFC 3-601-02 | NFPA 72</t>
  </si>
  <si>
    <t>SUBTOTAL - MNS</t>
  </si>
  <si>
    <t>7.  VAULT AND SECRET STORAGE CONVERSION</t>
  </si>
  <si>
    <t xml:space="preserve">    7A.  DEMOLITION</t>
  </si>
  <si>
    <t>G7A-VAULT DEMO</t>
  </si>
  <si>
    <t>Remove SIPR network rack from existing SIPR area (Rooms 209/210/211/212 secure cluster)</t>
  </si>
  <si>
    <t>RS Means FY24 CONUS; rack removal and disposal, parametric</t>
  </si>
  <si>
    <t>Remove existing vault door from SIPR area (Rooms 209/210/211/212 cluster)</t>
  </si>
  <si>
    <t>RS Means FY24 CONUS; vault door removal, parametric</t>
  </si>
  <si>
    <t>SUBTOTAL - VAULT DEMOLITION</t>
  </si>
  <si>
    <t xml:space="preserve">    7B.  VAULT CONSTRUCTION AND PHYSICAL SECURITY</t>
  </si>
  <si>
    <t>G7B-VAULT CONST</t>
  </si>
  <si>
    <t>Install GSA Class V vault door at SECRET storage area entrance (Corridor 251, access to Rooms 245-250 cluster) - Hamilton CI-5 door, FLANGE 2094 flange set, certified installation, prorated air freight TQL Global Air Services CVG-OKA</t>
  </si>
  <si>
    <t>Install security bars on windows, SECRET storage area (Rooms 245-250 cluster)</t>
  </si>
  <si>
    <t>RS Means FY24 CONUS; security bar installation per window, parametric; 10 EA confirmed by client 16 Mar 2026; MCO 5530.14A</t>
  </si>
  <si>
    <t>SUBTOTAL - VAULT CONSTRUCTION</t>
  </si>
  <si>
    <t xml:space="preserve">    7C.  VAULT ELECTRICAL AND SECURITY INFRASTRUCTURE</t>
  </si>
  <si>
    <t>G7C-VAULT ELEC</t>
  </si>
  <si>
    <t>Install SIPR network rack in new SECRET storage area (Rooms 245-250 cluster) - rack, backboard, ground bus bar, fiber optic connection from TR, conduit per CNSSAM TEMPEST/01-13</t>
  </si>
  <si>
    <t>RS Means FY24 CONUS; SIPR network rack installation with infrastructure, parametric; CNSSAM TEMPEST/01-13 | DoDI 5200.08 | UFC 3-580-01</t>
  </si>
  <si>
    <t>Install conduit and raceways for IDS sensors, SECRET storage area (Rooms 245-250 cluster)</t>
  </si>
  <si>
    <t>RS Means FY24 CONUS; IDS sensor conduit and raceway installation, parametric; MCO 5530.14A | ESAMS</t>
  </si>
  <si>
    <t>SUBTOTAL - VAULT ELECTRICAL/SECURITY</t>
  </si>
  <si>
    <t>8.  HVAC AND PLUMBING: AHU AND MECHANICAL ROOM REPLACEMENT, MECHANICAL ROOM 115</t>
  </si>
  <si>
    <t>G8-AHU PLUMBING</t>
  </si>
  <si>
    <t>Replace central station AHU AC-1, Mechanical Room 115; 5,100 CFM, 2-pipe chilled water; original 2007 installation</t>
  </si>
  <si>
    <t>RS Means FY24 CONUS; central station CHW AHU R&amp;R, 2-pipe CHW, approx 5,000 CFM; Div 23 74 13 parametric; UFC 3-410-01</t>
  </si>
  <si>
    <t>Replace central station AHU AC-2, Mechanical Room 115; 14,545 CFM, 2-pipe chilled water; original 2007 installation</t>
  </si>
  <si>
    <t>RS Means FY24 CONUS; central station CHW AHU R&amp;R, 2-pipe CHW, approx 15,000 CFM; Div 23 74 13 parametric; UFC 3-410-01</t>
  </si>
  <si>
    <t>Mechanical room overhaul, Mechanical Room 115: CHW piping modifications, sensors, dampers, expansion tank, ductwork, insulation, and peripheral connections</t>
  </si>
  <si>
    <t>RS Means FY24 CONUS; 30% allowance of combined AHU cost ($42,000 + $89,000 = $131,000) = $39,300 LS; Level 3 ROM percentage-based allowance for peripheral work tied to major equipment replacement; scope confirmed per drawings and site; UFC 3-410-01</t>
  </si>
  <si>
    <t>Replace electric water heater WHE, Mechanical Room 115; 100 gal commercial electric</t>
  </si>
  <si>
    <t>RS Means FY24 CONUS; electric water heater R&amp;R, commercial, 100 gal; Div 22 33 30 parametric; UFC 3-420-01</t>
  </si>
  <si>
    <t>Replace domestic hot water recirculation pumps, Mechanical Room 115; 2 EA inline commercial</t>
  </si>
  <si>
    <t>RS Means FY24 CONUS; inline recirculation pump R&amp;R, commercial; Div 22 11 23 parametric; UFC 3-420-01</t>
  </si>
  <si>
    <t>SUBTOTAL - AHU AND MECHANICAL ROOM PLUMBING</t>
  </si>
  <si>
    <t>TOTAL BASE DIRECT COST  (FY24 CONUS Pre-ACF)</t>
  </si>
  <si>
    <t>SCH-3314  |  COST ESTIMATE PARAMETERS  |  LEVEL 3 ROM  |  FY27  |  PAX ID 387433  |  Fi Web BU26PPE71M</t>
  </si>
  <si>
    <t>BUILDING IDENTITY</t>
  </si>
  <si>
    <t>Building Number</t>
  </si>
  <si>
    <t>SCH-3314</t>
  </si>
  <si>
    <t>iNFADS confirmed</t>
  </si>
  <si>
    <t>PAX ID</t>
  </si>
  <si>
    <t>387433</t>
  </si>
  <si>
    <t>DD Form 1391 PAX system</t>
  </si>
  <si>
    <t>Fi Web Project Number</t>
  </si>
  <si>
    <t>BU26PPE71M</t>
  </si>
  <si>
    <t>Client-confirmed</t>
  </si>
  <si>
    <t>CCN</t>
  </si>
  <si>
    <t>61072</t>
  </si>
  <si>
    <t>61072  |  Battalion Squadron Headquarters; UFC 2-000-05N</t>
  </si>
  <si>
    <t>FAC Code</t>
  </si>
  <si>
    <t>6101</t>
  </si>
  <si>
    <t>6101 Small Unit Headquarters Building; best-supported Table 3 proxy for CCN 61072 pending formal RPAO crosswalk</t>
  </si>
  <si>
    <t>PUC ($/SF)</t>
  </si>
  <si>
    <t>FAC 6101, UFC 3-701-01 w/Change 7 (25 Jul 2025), Table 3, row 273</t>
  </si>
  <si>
    <t>iNFADS RPUID</t>
  </si>
  <si>
    <t>50931</t>
  </si>
  <si>
    <t>Asset Evaluation 16 Apr 2020, Camp Schwab</t>
  </si>
  <si>
    <t>Total Building GSF</t>
  </si>
  <si>
    <t>iNFADS AE confirmed, 233 x 63 ft, 2 stories</t>
  </si>
  <si>
    <t>Supported Unit</t>
  </si>
  <si>
    <t>4th Marine Regiment, 3rd Marine Division</t>
  </si>
  <si>
    <t>M13200 4MAR REGT 3MARDIV + M29030 CLB-4</t>
  </si>
  <si>
    <t>Delivery Method</t>
  </si>
  <si>
    <t>Confirmed</t>
  </si>
  <si>
    <t>Prepared By</t>
  </si>
  <si>
    <t>Anthony L. Potter</t>
  </si>
  <si>
    <t>Prepared By Date</t>
  </si>
  <si>
    <t>16 March 2026</t>
  </si>
  <si>
    <t>ESTIMATE PARAMETERS  (Rows 18-29 referenced by ESTIMATE and SCOPE_DETAIL formulas)</t>
  </si>
  <si>
    <t>Area Cost Factor (ACF)</t>
  </si>
  <si>
    <t>UFC 3-701-01 w/Change 7 (25 Jul 2025), Table 4-1 OCONUS, site M67400-0004</t>
  </si>
  <si>
    <t>Escalation Rate (per year)</t>
  </si>
  <si>
    <t>OSD FY25 published rate, client-confirmed</t>
  </si>
  <si>
    <t>Escalation Years (FY24 to FY27)</t>
  </si>
  <si>
    <t>Base year FY24, target year FY27</t>
  </si>
  <si>
    <t>Compound Escalation Factor  =(1+B19)^B20</t>
  </si>
  <si>
    <t xml:space="preserve"> Live formula  |  do not hardcode; FY24 to FY27 at 2.1%/yr = 1.064332 approx</t>
  </si>
  <si>
    <t>General Requirements</t>
  </si>
  <si>
    <t>FSRM program-directed</t>
  </si>
  <si>
    <t>Contingency</t>
  </si>
  <si>
    <t>FSRM program-directed, Level 3 ROM; UFS 3-740-05 (2 Feb 2026)</t>
  </si>
  <si>
    <t>LSH Rate</t>
  </si>
  <si>
    <t>NAVFAC 11010.44E CH-1; MCO 11000.12 (08 Sep 2014)</t>
  </si>
  <si>
    <t>Design</t>
  </si>
  <si>
    <t>NAVFAC agency-directed</t>
  </si>
  <si>
    <t>SIOH (Program Adder  |  8.0% OCONUS FSRM)</t>
  </si>
  <si>
    <t>OCONUS FSRM customer-directed, MCIPAC G-F program-directed; NOT standard 7.3%</t>
  </si>
  <si>
    <t>CM</t>
  </si>
  <si>
    <t>Agency-directed</t>
  </si>
  <si>
    <t>DB Design (applied AFTER Total Funded)</t>
  </si>
  <si>
    <t>UFC 3-730-01 (2024)</t>
  </si>
  <si>
    <t>Total Building GSF (iNFADS confirmed)</t>
  </si>
  <si>
    <t>iNFADS RPUID 50931, AE 16 Apr 2020; 233 x 63 ft, 2 stories, 28,699 SF</t>
  </si>
  <si>
    <t>JPY / USD EXCHANGE RATE  (Display Only  |  Does Not Affect ROM Chain)</t>
  </si>
  <si>
    <t>PARAMETER</t>
  </si>
  <si>
    <t>SOURCE / DATE</t>
  </si>
  <si>
    <t>JPY/USD Exchange Rate</t>
  </si>
  <si>
    <t xml:space="preserve"> VERIFY BEFORE SUBMISSION  |  use Federal Reserve H.10 release date of submission; rate not confirmed as of build date 16 Mar 2026</t>
  </si>
  <si>
    <t>PRV AND LSH  (iNFADS Method  |  Rows 37-40 referenced by ESTIMATE B10 and DD1391_BLOCK9)</t>
  </si>
  <si>
    <t>VALUE ($)</t>
  </si>
  <si>
    <t>SOURCE / AUTHORITY</t>
  </si>
  <si>
    <t>Asset Evaluation 16 Apr 2020, Camp Schwab Bldg 3314</t>
  </si>
  <si>
    <t>PRV (iNFADS confirmed)</t>
  </si>
  <si>
    <t>iNFADS confirmed; governs per UFC 3-701-01 Section 3-2.1; predates C6 PUC update cycle</t>
  </si>
  <si>
    <t>Implied Unit Cost Check (PRV / GSF / ACF)</t>
  </si>
  <si>
    <t xml:space="preserve"> Cross-check only; not a PRV formula; iNFADS value governs</t>
  </si>
  <si>
    <t>LSH Allowance  (=PRV x 2.5%)</t>
  </si>
  <si>
    <t xml:space="preserve"> =B38*B24  |  ESTIMATE B10 = =PARAMETERS!B40  |  DD1391 LSH adder = =PARAMETERS!B40/1000</t>
  </si>
  <si>
    <t>PRV FORMULA CROSS-CHECK  (For Section F Item 11 Reference Only  |  iNFADS Governs)</t>
  </si>
  <si>
    <t>Q x PUC  (GSF 28,699 x $634/SF FAC 6101)</t>
  </si>
  <si>
    <t>Step 1 of Eq 3-1; FAC 6101 is Table 3 proxy for CCN 61072</t>
  </si>
  <si>
    <t>x ACF 1.85  (Q x PUC x ACF)</t>
  </si>
  <si>
    <t>Step 2</t>
  </si>
  <si>
    <t>HF (Historical Factor)</t>
  </si>
  <si>
    <t>Non-historical; not on NRHP</t>
  </si>
  <si>
    <t>PD (Productivity Differential)</t>
  </si>
  <si>
    <t>Non-medical; UFC 3-701-01</t>
  </si>
  <si>
    <t>SIOH Factor (Eq 3-1 PRV multiplier)</t>
  </si>
  <si>
    <t>UFC 3-701-01  NOTE: separate from 8.0% program adder</t>
  </si>
  <si>
    <t>CF (Contractor Factor)</t>
  </si>
  <si>
    <t>UFC 3-701-01</t>
  </si>
  <si>
    <t>Combined Factor (HF x PD x SIOH x CF)</t>
  </si>
  <si>
    <t>1.0 x 1.09 x 1.08 x 1.05</t>
  </si>
  <si>
    <t>Formula PRV (Q x PUC x ACF x Combined)</t>
  </si>
  <si>
    <t>Full Eq 3-1 result; for cross-check only</t>
  </si>
  <si>
    <t>Delta (Formula PRV minus iNFADS PRV)</t>
  </si>
  <si>
    <t>iNFADS is lower; C6 PUC update explains gap; iNFADS governs</t>
  </si>
  <si>
    <t>Formula-based LSH (Formula PRV x 2.5%)</t>
  </si>
  <si>
    <t>Cross-check only</t>
  </si>
  <si>
    <t>LSH Delta (Formula minus iNFADS)</t>
  </si>
  <si>
    <t>iNFADS-based LSH is $294,507 lower; iNFADS governs</t>
  </si>
  <si>
    <t>DESCRIPTION OF WORK</t>
  </si>
  <si>
    <t>AMOUNT ($000)</t>
  </si>
  <si>
    <t>UNIFORMAT II CODE</t>
  </si>
  <si>
    <t>HVAC  |  Building-Wide Diffuser and Ceiling Restoration (78 diffusers, 78 ceiling patches)</t>
  </si>
  <si>
    <t>HVAC  |  Office Duct Modifications, Converted Offices Rooms 105/106/107 Cluster</t>
  </si>
  <si>
    <t>HVAC  |  Exhaust Fan Replacement Building-Wide (31 EA  |  25 standard ceiling + 5 sirocco + 1 standard FE-7 confirmed)</t>
  </si>
  <si>
    <t>HVAC  |  Full Building Test, Adjust, and Balance (TAB) After All Work Complete</t>
  </si>
  <si>
    <t>HVAC  |  Duty Guard Room Systems (Rooms 102 and 103): Minisplit R&amp;R, Abandoned Equipment Removal, HEU R&amp;R, Fresh Air System</t>
  </si>
  <si>
    <t>Mass Notification System (MNS) Junction Box Installation, Mechanical Room 115</t>
  </si>
  <si>
    <t>Vault Demolition: Remove SIPR Network Rack and Existing Vault Door (Rooms 209/210/211/212 Cluster)</t>
  </si>
  <si>
    <t>Vault Construction: GSA Class V Vault Door (Corridor 251) and Security Bars on Windows (Rooms 245-250)</t>
  </si>
  <si>
    <t>Vault Electrical and Security: SIPR Network Rack Installation and IDS Sensor Raceways (Rooms 245-250)</t>
  </si>
  <si>
    <t>HVAC and Plumbing  |  AHU Replacement and Mechanical Room Overhaul, Mechanical Room 115 (AC-1 5,100 CFM, AC-2 14,545 CFM, Mech Room Peripheral Work)</t>
  </si>
  <si>
    <t>Plumbing  |  Water Heater and DHW Recirculation Pump Replacement, Mechanical Room 115 (WHE 100 gal + 2 EA Inline Pumps)</t>
  </si>
  <si>
    <t>SUBTOTAL</t>
  </si>
  <si>
    <t xml:space="preserve"> Must equal ESTIMATE!B8/1000</t>
  </si>
  <si>
    <t>Contingency (10.0%)  FSRM Program-Directed</t>
  </si>
  <si>
    <t xml:space="preserve"> =B13*PARAMETERS!B23</t>
  </si>
  <si>
    <t>LSH (2.5% of iNFADS PRV $29,826,797)  NAVFAC 11010.44E CH-1; MCO 11000.12</t>
  </si>
  <si>
    <t xml:space="preserve"> =PARAMETERS!B40/1000  |  iNFADS RPUID 50931</t>
  </si>
  <si>
    <t>Design (6.0%)  NAVFAC Agency-Directed</t>
  </si>
  <si>
    <t xml:space="preserve"> =ESTIMATE!B15/1000</t>
  </si>
  <si>
    <t>SIOH (8.0%)  OCONUS FSRM Customer-Directed</t>
  </si>
  <si>
    <t xml:space="preserve"> =ESTIMATE!B16/1000</t>
  </si>
  <si>
    <t>CM (4.0%)  Agency-Directed</t>
  </si>
  <si>
    <t xml:space="preserve"> =ESTIMATE!B17/1000</t>
  </si>
  <si>
    <t xml:space="preserve"> =ESTIMATE!B18/1000</t>
  </si>
  <si>
    <t>DB Design (4.0%)  Applied After Total Funded  UFC 3-730-01 (2024)</t>
  </si>
  <si>
    <t xml:space="preserve"> =ESTIMATE!B19/1000</t>
  </si>
  <si>
    <t xml:space="preserve"> =ESTIMATE!B20/1000</t>
  </si>
  <si>
    <t>v1 (16 Mar 2026)</t>
  </si>
  <si>
    <t>v2 (16 Mar 2026)</t>
  </si>
  <si>
    <t>v3 (18 Mar 2026) - CURRENT</t>
  </si>
  <si>
    <t xml:space="preserve"> 16 March 2026  |  FE-7 confirmed | Window bars 10 EA confirmed  |  Base Direct $176,449.40</t>
  </si>
  <si>
    <t xml:space="preserve"> FY24 CONUS pre-ACF throughout. HVAC scope: ceiling diffuser R&amp;R $425/EA, ceiling patch $150/EA, standard exhaust fan R&amp;R $650/EA, sirocco fan R&amp;R $2,500/EA, HEU R&amp;R $4,500/EA, minisplit R&amp;R $4,200/EA; AHU central station CHW approx 5,000 CFM range $42,000/EA, approx 15,000 CFM range $89,000/EA; mechanical room overhaul 30% LS allowance $39,300 (scope confirmed per drawings and site). Plumbing: WHE 100 gal $3,800/EA, DHW inline pump $1,600/EA. Vault scope: GSA Class V vault door $14,599.40/EA.</t>
  </si>
  <si>
    <t xml:space="preserve"> 16 March 2026 | Initial ROM estimate | iNFADS PRV governs | 18 scope items, 7 groups</t>
  </si>
  <si>
    <t xml:space="preserve"> 18 March 2026  |  Added Group 8: AHU replacement (AC-1 5,100 CFM, AC-2 14,545 CFM), mechanical room overhaul ($39,300 LS confirmed), WHE 100 gal, DHW pumps 2 EA  |  Base Direct revised to $353,749.40</t>
  </si>
  <si>
    <t xml:space="preserve"> Version history documented in Section E above. Version 3 (18 Mar 2026) is the current estimate. Added Group 8 with 5 new scope items: AHU replacement (AC-1, AC-2), mechanical room overhaul (scope confirmed), WHE, DHW pumps. Base Direct increased from $176,449.40 to $353,749.40. Version Total Funded: $1,874,407.</t>
  </si>
  <si>
    <t xml:space="preserve"> Anthony L. Potter  |  Facilities Professional  |  Booz Allen Hamilton - MCIPAC G-F PPE  |  18 March 2026 </t>
  </si>
  <si>
    <t xml:space="preserve"> Hamilton CI-5 door + FLANGE 2094: $10,143.40 | Prorated air freight TQL Global Air Services 5-door CVG-OKA shipment: $1,956.00 | Certified install labor 2-person crew OCONUS: $2,500.00 | Authority: MCO 5530.14A | UFC 4-010-05 | GSA Class V specification</t>
  </si>
  <si>
    <t xml:space="preserve"> ACF 1.85. Source: UFC 3-701-01 w/Change 7 (25 Jul 2025), Table 4-1 OCONUS, site (Camp Schwab). Applied to FY24 CONUS Base Direct.</t>
  </si>
  <si>
    <t>MCIPAC G-F PPE</t>
  </si>
  <si>
    <t>Design-Build (DB)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</si>
</sst>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##"/>
    <numFmt numFmtId="165" formatCode="\$#,##0.00"/>
    <numFmt numFmtId="166" formatCode="0.0%"/>
    <numFmt numFmtId="167" formatCode="0.000000"/>
    <numFmt numFmtId="168" formatCode="#,##0.000"/>
  </numFmts>
  <fonts count="16" x14ac:knownFonts="1">
    <font>
      <sz val="11"/>
      <color theme="1"/>
      <name val="Calibri"/>
      <family val="2"/>
      <charset val="1"/>
    </font>
    <font>
      <b/>
      <sz val="12"/>
      <color rgb="FFFFFFFF"/>
      <name val="Calibri"/>
      <charset val="1"/>
    </font>
    <font>
      <b/>
      <sz val="10"/>
      <color rgb="FFFFFFFF"/>
      <name val="Calibri"/>
      <charset val="1"/>
    </font>
    <font>
      <b/>
      <sz val="9"/>
      <color rgb="FF000000"/>
      <name val="Calibri"/>
      <charset val="1"/>
    </font>
    <font>
      <sz val="10"/>
      <color rgb="FF000000"/>
      <name val="Calibri"/>
      <charset val="1"/>
    </font>
    <font>
      <sz val="10"/>
      <color rgb="FF008000"/>
      <name val="Calibri"/>
      <charset val="1"/>
    </font>
    <font>
      <sz val="8"/>
      <color rgb="FF444444"/>
      <name val="Calibri"/>
      <charset val="1"/>
    </font>
    <font>
      <b/>
      <sz val="10"/>
      <color rgb="FF000000"/>
      <name val="Calibri"/>
      <charset val="1"/>
    </font>
    <font>
      <i/>
      <sz val="9"/>
      <color rgb="FFC00000"/>
      <name val="Calibri"/>
      <charset val="1"/>
    </font>
    <font>
      <sz val="9"/>
      <color rgb="FF000000"/>
      <name val="Calibri"/>
      <charset val="1"/>
    </font>
    <font>
      <sz val="9"/>
      <color rgb="FF0070C0"/>
      <name val="Calibri"/>
      <charset val="1"/>
    </font>
    <font>
      <sz val="9"/>
      <color rgb="FF444444"/>
      <name val="Calibri"/>
      <charset val="1"/>
    </font>
    <font>
      <sz val="9"/>
      <color rgb="FF008000"/>
      <name val="Calibri"/>
      <charset val="1"/>
    </font>
    <font>
      <sz val="10"/>
      <color rgb="FF0070C0"/>
      <name val="Calibri"/>
      <charset val="1"/>
    </font>
    <font>
      <sz val="8"/>
      <color rgb="FF595959"/>
      <name val="Calibri"/>
      <charset val="1"/>
    </font>
    <font>
      <b/>
      <sz val="11"/>
      <color rgb="FF1F4E79"/>
      <name val="Calibri"/>
      <charset val="1"/>
    </font>
  </fonts>
  <fills count="12">
    <fill>
      <patternFill patternType="none"/>
    </fill>
    <fill>
      <patternFill patternType="gray125"/>
    </fill>
    <fill>
      <patternFill patternType="solid">
        <fgColor rgb="FF1B2A4A"/>
        <bgColor rgb="FF003300"/>
      </patternFill>
    </fill>
    <fill>
      <patternFill patternType="solid">
        <fgColor rgb="FF2E4A7A"/>
        <bgColor rgb="FF1F4E79"/>
      </patternFill>
    </fill>
    <fill>
      <patternFill patternType="solid">
        <fgColor rgb="FFBDD7EE"/>
        <bgColor rgb="FFD6DCE4"/>
      </patternFill>
    </fill>
    <fill>
      <patternFill patternType="solid">
        <fgColor rgb="FFD6DCE4"/>
        <bgColor rgb="FFD9E1EC"/>
      </patternFill>
    </fill>
    <fill>
      <patternFill patternType="solid">
        <fgColor rgb="FFD9E1EC"/>
        <bgColor rgb="FFD6DCE4"/>
      </patternFill>
    </fill>
    <fill>
      <patternFill patternType="solid">
        <fgColor rgb="FFF2F5FA"/>
        <bgColor rgb="FFEBF5FF"/>
      </patternFill>
    </fill>
    <fill>
      <patternFill patternType="solid">
        <fgColor rgb="FFEBF5FF"/>
        <bgColor rgb="FFF2F5FA"/>
      </patternFill>
    </fill>
    <fill>
      <patternFill patternType="solid">
        <fgColor rgb="FFE8EEF6"/>
        <bgColor rgb="FFEBF5FF"/>
      </patternFill>
    </fill>
    <fill>
      <patternFill patternType="solid">
        <fgColor rgb="FFFFFF00"/>
        <bgColor rgb="FFFFFF00"/>
      </patternFill>
    </fill>
    <fill>
      <patternFill patternType="solid">
        <fgColor rgb="FF1F4E79"/>
        <bgColor rgb="FF2E4A7A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</borders>
  <cellStyleXfs count="1">
    <xf numFmtId="0" fontId="0" fillId="0" borderId="0"/>
  </cellStyleXfs>
  <cellXfs count="79">
    <xf numFmtId="0" fontId="0" fillId="0" borderId="0" xfId="0"/>
    <xf numFmtId="0" fontId="0" fillId="0" borderId="0" xfId="0" applyAlignment="1" applyProtection="1">
      <alignment vertical="center"/>
    </xf>
    <xf numFmtId="0" fontId="0" fillId="0" borderId="0" xfId="0" applyAlignment="1" applyProtection="1">
      <alignment horizontal="center" vertical="center"/>
    </xf>
    <xf numFmtId="0" fontId="2" fillId="3" borderId="1" xfId="0" applyFont="1" applyFill="1" applyBorder="1" applyAlignment="1" applyProtection="1">
      <alignment horizontal="left" vertical="center"/>
    </xf>
    <xf numFmtId="0" fontId="3" fillId="4" borderId="1" xfId="0" applyFont="1" applyFill="1" applyBorder="1" applyAlignment="1" applyProtection="1">
      <alignment horizontal="center" vertical="center" wrapText="1"/>
    </xf>
    <xf numFmtId="0" fontId="4" fillId="0" borderId="1" xfId="0" applyFont="1" applyBorder="1" applyAlignment="1" applyProtection="1">
      <alignment horizontal="left" vertical="center"/>
    </xf>
    <xf numFmtId="4" fontId="5" fillId="0" borderId="1" xfId="0" applyNumberFormat="1" applyFont="1" applyBorder="1" applyAlignment="1" applyProtection="1">
      <alignment horizontal="center" vertical="center"/>
    </xf>
    <xf numFmtId="0" fontId="6" fillId="0" borderId="1" xfId="0" applyFont="1" applyBorder="1" applyAlignment="1" applyProtection="1">
      <alignment horizontal="left" vertical="center" wrapText="1"/>
    </xf>
    <xf numFmtId="4" fontId="4" fillId="0" borderId="1" xfId="0" applyNumberFormat="1" applyFont="1" applyBorder="1" applyAlignment="1" applyProtection="1">
      <alignment horizontal="center" vertical="center"/>
    </xf>
    <xf numFmtId="0" fontId="7" fillId="6" borderId="2" xfId="0" applyFont="1" applyFill="1" applyBorder="1" applyAlignment="1" applyProtection="1">
      <alignment horizontal="left" vertical="center"/>
    </xf>
    <xf numFmtId="4" fontId="7" fillId="6" borderId="2" xfId="0" applyNumberFormat="1" applyFont="1" applyFill="1" applyBorder="1" applyAlignment="1" applyProtection="1">
      <alignment horizontal="center" vertical="center"/>
    </xf>
    <xf numFmtId="0" fontId="3" fillId="4" borderId="1" xfId="0" applyFont="1" applyFill="1" applyBorder="1" applyAlignment="1" applyProtection="1">
      <alignment horizontal="center" vertical="center"/>
    </xf>
    <xf numFmtId="0" fontId="6" fillId="0" borderId="1" xfId="0" applyFont="1" applyBorder="1" applyAlignment="1" applyProtection="1">
      <alignment horizontal="left" vertical="center"/>
    </xf>
    <xf numFmtId="0" fontId="7" fillId="6" borderId="1" xfId="0" applyFont="1" applyFill="1" applyBorder="1" applyAlignment="1" applyProtection="1">
      <alignment horizontal="left" vertical="center"/>
    </xf>
    <xf numFmtId="4" fontId="7" fillId="6" borderId="1" xfId="0" applyNumberFormat="1" applyFont="1" applyFill="1" applyBorder="1" applyAlignment="1" applyProtection="1">
      <alignment horizontal="center" vertical="center"/>
    </xf>
    <xf numFmtId="0" fontId="6" fillId="6" borderId="1" xfId="0" applyFont="1" applyFill="1" applyBorder="1" applyAlignment="1" applyProtection="1">
      <alignment horizontal="left" vertical="center" wrapText="1"/>
    </xf>
    <xf numFmtId="0" fontId="3" fillId="7" borderId="1" xfId="0" applyFont="1" applyFill="1" applyBorder="1" applyAlignment="1" applyProtection="1">
      <alignment horizontal="left" vertical="center" wrapText="1"/>
    </xf>
    <xf numFmtId="0" fontId="9" fillId="0" borderId="1" xfId="0" applyFont="1" applyBorder="1" applyAlignment="1" applyProtection="1">
      <alignment horizontal="center" vertical="center"/>
    </xf>
    <xf numFmtId="0" fontId="9" fillId="0" borderId="1" xfId="0" applyFont="1" applyBorder="1" applyAlignment="1" applyProtection="1">
      <alignment horizontal="center" vertical="center" wrapText="1"/>
    </xf>
    <xf numFmtId="0" fontId="9" fillId="0" borderId="1" xfId="0" applyFont="1" applyBorder="1" applyAlignment="1" applyProtection="1">
      <alignment horizontal="left" vertical="center" wrapText="1"/>
    </xf>
    <xf numFmtId="164" fontId="10" fillId="8" borderId="1" xfId="0" applyNumberFormat="1" applyFont="1" applyFill="1" applyBorder="1" applyAlignment="1" applyProtection="1">
      <alignment horizontal="center" vertical="center"/>
    </xf>
    <xf numFmtId="4" fontId="10" fillId="8" borderId="1" xfId="0" applyNumberFormat="1" applyFont="1" applyFill="1" applyBorder="1" applyAlignment="1" applyProtection="1">
      <alignment horizontal="center" vertical="center"/>
    </xf>
    <xf numFmtId="4" fontId="9" fillId="0" borderId="1" xfId="0" applyNumberFormat="1" applyFont="1" applyBorder="1" applyAlignment="1" applyProtection="1">
      <alignment horizontal="center" vertical="center"/>
    </xf>
    <xf numFmtId="3" fontId="9" fillId="0" borderId="1" xfId="0" applyNumberFormat="1" applyFont="1" applyBorder="1" applyAlignment="1" applyProtection="1">
      <alignment horizontal="center" vertical="center"/>
    </xf>
    <xf numFmtId="0" fontId="11" fillId="0" borderId="1" xfId="0" applyFont="1" applyBorder="1" applyAlignment="1" applyProtection="1">
      <alignment horizontal="left" vertical="center" wrapText="1"/>
    </xf>
    <xf numFmtId="0" fontId="7" fillId="5" borderId="3" xfId="0" applyFont="1" applyFill="1" applyBorder="1" applyAlignment="1" applyProtection="1">
      <alignment horizontal="left" vertical="center"/>
    </xf>
    <xf numFmtId="4" fontId="4" fillId="5" borderId="3" xfId="0" applyNumberFormat="1" applyFont="1" applyFill="1" applyBorder="1" applyAlignment="1" applyProtection="1">
      <alignment horizontal="center" vertical="center"/>
    </xf>
    <xf numFmtId="3" fontId="12" fillId="5" borderId="3" xfId="0" applyNumberFormat="1" applyFont="1" applyFill="1" applyBorder="1" applyAlignment="1" applyProtection="1">
      <alignment horizontal="center" vertical="center"/>
    </xf>
    <xf numFmtId="0" fontId="4" fillId="5" borderId="3" xfId="0" applyFont="1" applyFill="1" applyBorder="1" applyAlignment="1" applyProtection="1">
      <alignment horizontal="left" vertical="center"/>
    </xf>
    <xf numFmtId="3" fontId="12" fillId="5" borderId="2" xfId="0" applyNumberFormat="1" applyFont="1" applyFill="1" applyBorder="1" applyAlignment="1" applyProtection="1">
      <alignment horizontal="center" vertical="center"/>
    </xf>
    <xf numFmtId="0" fontId="4" fillId="5" borderId="2" xfId="0" applyFont="1" applyFill="1" applyBorder="1" applyAlignment="1" applyProtection="1">
      <alignment horizontal="left" vertical="center"/>
    </xf>
    <xf numFmtId="0" fontId="0" fillId="0" borderId="0" xfId="0" applyAlignment="1" applyProtection="1"/>
    <xf numFmtId="0" fontId="0" fillId="0" borderId="1" xfId="0" applyBorder="1" applyAlignment="1" applyProtection="1"/>
    <xf numFmtId="0" fontId="7" fillId="7" borderId="1" xfId="0" applyFont="1" applyFill="1" applyBorder="1" applyAlignment="1" applyProtection="1">
      <alignment horizontal="left" vertical="center"/>
    </xf>
    <xf numFmtId="0" fontId="13" fillId="8" borderId="1" xfId="0" applyFont="1" applyFill="1" applyBorder="1" applyAlignment="1" applyProtection="1">
      <alignment horizontal="center" vertical="center" wrapText="1"/>
    </xf>
    <xf numFmtId="0" fontId="9" fillId="0" borderId="1" xfId="0" applyFont="1" applyBorder="1" applyAlignment="1" applyProtection="1">
      <alignment horizontal="left" vertical="center"/>
    </xf>
    <xf numFmtId="165" fontId="13" fillId="8" borderId="1" xfId="0" applyNumberFormat="1" applyFont="1" applyFill="1" applyBorder="1" applyAlignment="1" applyProtection="1">
      <alignment horizontal="center" vertical="center" wrapText="1"/>
    </xf>
    <xf numFmtId="3" fontId="13" fillId="8" borderId="1" xfId="0" applyNumberFormat="1" applyFont="1" applyFill="1" applyBorder="1" applyAlignment="1" applyProtection="1">
      <alignment horizontal="center" vertical="center" wrapText="1"/>
    </xf>
    <xf numFmtId="0" fontId="0" fillId="0" borderId="1" xfId="0" applyBorder="1" applyAlignment="1" applyProtection="1">
      <alignment horizontal="left"/>
    </xf>
    <xf numFmtId="166" fontId="13" fillId="8" borderId="1" xfId="0" applyNumberFormat="1" applyFont="1" applyFill="1" applyBorder="1" applyAlignment="1" applyProtection="1">
      <alignment horizontal="center" vertical="center" wrapText="1"/>
    </xf>
    <xf numFmtId="167" fontId="4" fillId="9" borderId="1" xfId="0" applyNumberFormat="1" applyFont="1" applyFill="1" applyBorder="1" applyAlignment="1" applyProtection="1">
      <alignment horizontal="center" vertical="center" wrapText="1"/>
    </xf>
    <xf numFmtId="0" fontId="8" fillId="10" borderId="1" xfId="0" applyFont="1" applyFill="1" applyBorder="1" applyAlignment="1" applyProtection="1">
      <alignment horizontal="center" vertical="center"/>
    </xf>
    <xf numFmtId="0" fontId="9" fillId="10" borderId="1" xfId="0" applyFont="1" applyFill="1" applyBorder="1" applyAlignment="1" applyProtection="1">
      <alignment horizontal="center" vertical="center"/>
    </xf>
    <xf numFmtId="4" fontId="13" fillId="8" borderId="1" xfId="0" applyNumberFormat="1" applyFont="1" applyFill="1" applyBorder="1" applyAlignment="1" applyProtection="1">
      <alignment horizontal="center" vertical="center" wrapText="1"/>
    </xf>
    <xf numFmtId="165" fontId="4" fillId="9" borderId="1" xfId="0" applyNumberFormat="1" applyFont="1" applyFill="1" applyBorder="1" applyAlignment="1" applyProtection="1">
      <alignment horizontal="center" vertical="center" wrapText="1"/>
    </xf>
    <xf numFmtId="0" fontId="7" fillId="7" borderId="1" xfId="0" applyFont="1" applyFill="1" applyBorder="1" applyAlignment="1" applyProtection="1">
      <alignment horizontal="left" vertical="center" wrapText="1"/>
    </xf>
    <xf numFmtId="3" fontId="4" fillId="9" borderId="1" xfId="0" applyNumberFormat="1" applyFont="1" applyFill="1" applyBorder="1" applyAlignment="1" applyProtection="1">
      <alignment horizontal="center" vertical="center"/>
    </xf>
    <xf numFmtId="0" fontId="2" fillId="11" borderId="1" xfId="0" applyFont="1" applyFill="1" applyBorder="1" applyAlignment="1" applyProtection="1">
      <alignment horizontal="center" vertical="center"/>
    </xf>
    <xf numFmtId="0" fontId="4" fillId="0" borderId="1" xfId="0" applyFont="1" applyBorder="1" applyAlignment="1" applyProtection="1">
      <alignment horizontal="left" vertical="center" wrapText="1"/>
    </xf>
    <xf numFmtId="168" fontId="5" fillId="0" borderId="1" xfId="0" applyNumberFormat="1" applyFont="1" applyBorder="1" applyAlignment="1" applyProtection="1">
      <alignment horizontal="center" vertical="center"/>
    </xf>
    <xf numFmtId="0" fontId="14" fillId="0" borderId="1" xfId="0" applyFont="1" applyBorder="1" applyAlignment="1" applyProtection="1">
      <alignment horizontal="left" vertical="center" wrapText="1"/>
    </xf>
    <xf numFmtId="0" fontId="7" fillId="5" borderId="1" xfId="0" applyFont="1" applyFill="1" applyBorder="1" applyAlignment="1" applyProtection="1">
      <alignment horizontal="left" vertical="center" wrapText="1"/>
    </xf>
    <xf numFmtId="168" fontId="7" fillId="5" borderId="1" xfId="0" applyNumberFormat="1" applyFont="1" applyFill="1" applyBorder="1" applyAlignment="1" applyProtection="1">
      <alignment horizontal="center" vertical="center"/>
    </xf>
    <xf numFmtId="0" fontId="14" fillId="5" borderId="1" xfId="0" applyFont="1" applyFill="1" applyBorder="1" applyAlignment="1" applyProtection="1">
      <alignment horizontal="left" vertical="center"/>
    </xf>
    <xf numFmtId="0" fontId="7" fillId="4" borderId="1" xfId="0" applyFont="1" applyFill="1" applyBorder="1" applyAlignment="1" applyProtection="1">
      <alignment horizontal="left" vertical="center"/>
    </xf>
    <xf numFmtId="168" fontId="5" fillId="4" borderId="1" xfId="0" applyNumberFormat="1" applyFont="1" applyFill="1" applyBorder="1" applyAlignment="1" applyProtection="1">
      <alignment horizontal="center" vertical="center"/>
    </xf>
    <xf numFmtId="0" fontId="14" fillId="4" borderId="1" xfId="0" applyFont="1" applyFill="1" applyBorder="1" applyAlignment="1" applyProtection="1">
      <alignment horizontal="left" vertical="center"/>
    </xf>
    <xf numFmtId="0" fontId="14" fillId="0" borderId="1" xfId="0" applyFont="1" applyBorder="1" applyAlignment="1" applyProtection="1">
      <alignment horizontal="left" vertical="center"/>
    </xf>
    <xf numFmtId="0" fontId="15" fillId="6" borderId="1" xfId="0" applyFont="1" applyFill="1" applyBorder="1" applyAlignment="1" applyProtection="1">
      <alignment horizontal="left" vertical="center"/>
    </xf>
    <xf numFmtId="168" fontId="15" fillId="6" borderId="1" xfId="0" applyNumberFormat="1" applyFont="1" applyFill="1" applyBorder="1" applyAlignment="1" applyProtection="1">
      <alignment horizontal="center" vertical="center"/>
    </xf>
    <xf numFmtId="0" fontId="14" fillId="6" borderId="1" xfId="0" applyFont="1" applyFill="1" applyBorder="1" applyAlignment="1" applyProtection="1">
      <alignment horizontal="left" vertical="center"/>
    </xf>
    <xf numFmtId="0" fontId="2" fillId="3" borderId="1" xfId="0" applyFont="1" applyFill="1" applyBorder="1" applyAlignment="1" applyProtection="1">
      <alignment horizontal="left" vertical="center"/>
    </xf>
    <xf numFmtId="0" fontId="1" fillId="2" borderId="1" xfId="0" applyFont="1" applyFill="1" applyBorder="1" applyAlignment="1" applyProtection="1">
      <alignment horizontal="center" vertical="center"/>
    </xf>
    <xf numFmtId="0" fontId="2" fillId="3" borderId="1" xfId="0" applyFont="1" applyFill="1" applyBorder="1" applyAlignment="1" applyProtection="1">
      <alignment horizontal="left" vertical="center"/>
    </xf>
    <xf numFmtId="0" fontId="6" fillId="7" borderId="1" xfId="0" applyFont="1" applyFill="1" applyBorder="1" applyAlignment="1" applyProtection="1">
      <alignment horizontal="left" vertical="center" wrapText="1"/>
    </xf>
    <xf numFmtId="0" fontId="8" fillId="0" borderId="1" xfId="0" applyFont="1" applyBorder="1" applyAlignment="1" applyProtection="1">
      <alignment horizontal="left" vertical="center"/>
    </xf>
    <xf numFmtId="0" fontId="7" fillId="5" borderId="3" xfId="0" applyFont="1" applyFill="1" applyBorder="1" applyAlignment="1" applyProtection="1">
      <alignment horizontal="left" vertical="center"/>
    </xf>
    <xf numFmtId="0" fontId="0" fillId="0" borderId="0" xfId="0" applyBorder="1" applyAlignment="1" applyProtection="1">
      <alignment vertical="center"/>
    </xf>
    <xf numFmtId="0" fontId="0" fillId="0" borderId="1" xfId="0" applyBorder="1" applyAlignment="1" applyProtection="1">
      <alignment vertical="center"/>
    </xf>
    <xf numFmtId="0" fontId="0" fillId="0" borderId="1" xfId="0" applyBorder="1" applyAlignment="1" applyProtection="1">
      <alignment horizontal="center" vertical="center"/>
    </xf>
    <xf numFmtId="0" fontId="4" fillId="5" borderId="1" xfId="0" applyFont="1" applyFill="1" applyBorder="1" applyAlignment="1" applyProtection="1">
      <alignment horizontal="left" vertical="center"/>
    </xf>
    <xf numFmtId="4" fontId="4" fillId="5" borderId="1" xfId="0" applyNumberFormat="1" applyFont="1" applyFill="1" applyBorder="1" applyAlignment="1" applyProtection="1">
      <alignment horizontal="center" vertical="center"/>
    </xf>
    <xf numFmtId="0" fontId="6" fillId="5" borderId="1" xfId="0" applyFont="1" applyFill="1" applyBorder="1" applyAlignment="1" applyProtection="1">
      <alignment horizontal="left" vertical="center" wrapText="1"/>
    </xf>
    <xf numFmtId="0" fontId="6" fillId="6" borderId="1" xfId="0" applyFont="1" applyFill="1" applyBorder="1" applyAlignment="1" applyProtection="1">
      <alignment horizontal="left" vertical="center"/>
    </xf>
    <xf numFmtId="4" fontId="7" fillId="4" borderId="1" xfId="0" applyNumberFormat="1" applyFont="1" applyFill="1" applyBorder="1" applyAlignment="1" applyProtection="1">
      <alignment horizontal="center" vertical="center"/>
    </xf>
    <xf numFmtId="0" fontId="6" fillId="4" borderId="1" xfId="0" applyFont="1" applyFill="1" applyBorder="1" applyAlignment="1" applyProtection="1">
      <alignment horizontal="left" vertical="center"/>
    </xf>
    <xf numFmtId="0" fontId="7" fillId="5" borderId="1" xfId="0" applyFont="1" applyFill="1" applyBorder="1" applyAlignment="1" applyProtection="1">
      <alignment horizontal="left" vertical="center"/>
    </xf>
    <xf numFmtId="4" fontId="7" fillId="5" borderId="1" xfId="0" applyNumberFormat="1" applyFont="1" applyFill="1" applyBorder="1" applyAlignment="1" applyProtection="1">
      <alignment horizontal="center" vertical="center"/>
    </xf>
    <xf numFmtId="0" fontId="6" fillId="5" borderId="1" xfId="0" applyFont="1" applyFill="1" applyBorder="1" applyAlignment="1" applyProtection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6DCE4"/>
      <rgbColor rgb="FF808080"/>
      <rgbColor rgb="FF9999FF"/>
      <rgbColor rgb="FF993366"/>
      <rgbColor rgb="FFF2F5FA"/>
      <rgbColor rgb="FFEBF5FF"/>
      <rgbColor rgb="FF660066"/>
      <rgbColor rgb="FFFF8080"/>
      <rgbColor rgb="FF0070C0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EEF6"/>
      <rgbColor rgb="FFD9E1E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4E79"/>
      <rgbColor rgb="FF339966"/>
      <rgbColor rgb="FF003300"/>
      <rgbColor rgb="FF444444"/>
      <rgbColor rgb="FF993300"/>
      <rgbColor rgb="FF993366"/>
      <rgbColor rgb="FF2E4A7A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52"/>
  <sheetViews>
    <sheetView tabSelected="1" zoomScaleNormal="100" workbookViewId="0">
      <pane ySplit="1" topLeftCell="A2" activePane="bottomLeft" state="frozen"/>
      <selection pane="bottomLeft" activeCell="B50" sqref="B50:C50"/>
    </sheetView>
  </sheetViews>
  <sheetFormatPr defaultColWidth="8.7109375" defaultRowHeight="15" x14ac:dyDescent="0.25"/>
  <cols>
    <col min="1" max="1" width="56" style="1" customWidth="1"/>
    <col min="2" max="2" width="18" style="2" customWidth="1"/>
    <col min="3" max="3" width="108" style="1" customWidth="1"/>
    <col min="4" max="16384" width="8.7109375" style="1"/>
  </cols>
  <sheetData>
    <row r="1" spans="1:3" ht="19.5" customHeight="1" x14ac:dyDescent="0.25">
      <c r="A1" s="62" t="s">
        <v>0</v>
      </c>
      <c r="B1" s="62"/>
      <c r="C1" s="62"/>
    </row>
    <row r="2" spans="1:3" x14ac:dyDescent="0.25">
      <c r="A2" s="68"/>
      <c r="B2" s="69"/>
      <c r="C2" s="68"/>
    </row>
    <row r="3" spans="1:3" ht="18" customHeight="1" x14ac:dyDescent="0.25">
      <c r="A3" s="63" t="s">
        <v>1</v>
      </c>
      <c r="B3" s="63"/>
      <c r="C3" s="63"/>
    </row>
    <row r="4" spans="1:3" ht="13.5" customHeight="1" x14ac:dyDescent="0.25">
      <c r="A4" s="4" t="s">
        <v>2</v>
      </c>
      <c r="B4" s="4" t="s">
        <v>3</v>
      </c>
      <c r="C4" s="4" t="s">
        <v>4</v>
      </c>
    </row>
    <row r="5" spans="1:3" ht="13.5" customHeight="1" x14ac:dyDescent="0.25">
      <c r="A5" s="5" t="s">
        <v>5</v>
      </c>
      <c r="B5" s="6">
        <f>SCOPE_DETAIL!G49</f>
        <v>353749.4</v>
      </c>
      <c r="C5" s="7" t="s">
        <v>6</v>
      </c>
    </row>
    <row r="6" spans="1:3" ht="13.5" customHeight="1" x14ac:dyDescent="0.25">
      <c r="A6" s="5" t="s">
        <v>7</v>
      </c>
      <c r="B6" s="8">
        <f>B5*PARAMETERS!B18</f>
        <v>654436.39000000013</v>
      </c>
      <c r="C6" s="7" t="s">
        <v>8</v>
      </c>
    </row>
    <row r="7" spans="1:3" ht="13.5" customHeight="1" x14ac:dyDescent="0.25">
      <c r="A7" s="5" t="s">
        <v>9</v>
      </c>
      <c r="B7" s="8">
        <f>B6*PARAMETERS!B21</f>
        <v>696537.76264937769</v>
      </c>
      <c r="C7" s="7" t="s">
        <v>10</v>
      </c>
    </row>
    <row r="8" spans="1:3" ht="13.5" customHeight="1" x14ac:dyDescent="0.25">
      <c r="A8" s="5" t="s">
        <v>11</v>
      </c>
      <c r="B8" s="8">
        <f>B7*(1+PARAMETERS!B22)</f>
        <v>766191.53891431552</v>
      </c>
      <c r="C8" s="7" t="s">
        <v>12</v>
      </c>
    </row>
    <row r="9" spans="1:3" ht="13.5" customHeight="1" x14ac:dyDescent="0.25">
      <c r="A9" s="70" t="s">
        <v>13</v>
      </c>
      <c r="B9" s="71">
        <f>ROUND(B8*(1+PARAMETERS!B23),0)</f>
        <v>842811</v>
      </c>
      <c r="C9" s="72" t="s">
        <v>14</v>
      </c>
    </row>
    <row r="10" spans="1:3" ht="13.5" customHeight="1" x14ac:dyDescent="0.25">
      <c r="A10" s="5" t="s">
        <v>15</v>
      </c>
      <c r="B10" s="6">
        <f>PARAMETERS!B40</f>
        <v>745669.92500000005</v>
      </c>
      <c r="C10" s="7" t="s">
        <v>16</v>
      </c>
    </row>
    <row r="11" spans="1:3" ht="13.5" customHeight="1" x14ac:dyDescent="0.25">
      <c r="A11" s="13" t="s">
        <v>17</v>
      </c>
      <c r="B11" s="14">
        <f>B9+B10</f>
        <v>1588480.925</v>
      </c>
      <c r="C11" s="73" t="s">
        <v>18</v>
      </c>
    </row>
    <row r="12" spans="1:3" x14ac:dyDescent="0.25">
      <c r="A12" s="68"/>
      <c r="B12" s="69"/>
      <c r="C12" s="68"/>
    </row>
    <row r="13" spans="1:3" ht="18" customHeight="1" x14ac:dyDescent="0.25">
      <c r="A13" s="63" t="s">
        <v>19</v>
      </c>
      <c r="B13" s="63"/>
      <c r="C13" s="63"/>
    </row>
    <row r="14" spans="1:3" ht="13.5" customHeight="1" x14ac:dyDescent="0.25">
      <c r="A14" s="4" t="s">
        <v>20</v>
      </c>
      <c r="B14" s="4" t="s">
        <v>3</v>
      </c>
      <c r="C14" s="4" t="s">
        <v>21</v>
      </c>
    </row>
    <row r="15" spans="1:3" ht="13.5" customHeight="1" x14ac:dyDescent="0.25">
      <c r="A15" s="5" t="s">
        <v>22</v>
      </c>
      <c r="B15" s="8">
        <f>B11*PARAMETERS!B25</f>
        <v>95308.855500000005</v>
      </c>
      <c r="C15" s="7" t="s">
        <v>23</v>
      </c>
    </row>
    <row r="16" spans="1:3" ht="13.5" customHeight="1" x14ac:dyDescent="0.25">
      <c r="A16" s="5" t="s">
        <v>24</v>
      </c>
      <c r="B16" s="8">
        <f>B11*PARAMETERS!B26</f>
        <v>127078.474</v>
      </c>
      <c r="C16" s="7" t="s">
        <v>25</v>
      </c>
    </row>
    <row r="17" spans="1:3" ht="13.5" customHeight="1" x14ac:dyDescent="0.25">
      <c r="A17" s="5" t="s">
        <v>26</v>
      </c>
      <c r="B17" s="8">
        <f>B11*PARAMETERS!B27</f>
        <v>63539.237000000001</v>
      </c>
      <c r="C17" s="7" t="s">
        <v>27</v>
      </c>
    </row>
    <row r="18" spans="1:3" ht="13.5" customHeight="1" x14ac:dyDescent="0.25">
      <c r="A18" s="54" t="s">
        <v>28</v>
      </c>
      <c r="B18" s="74">
        <f>ROUND(B11+B15+B16+B17,0)</f>
        <v>1874407</v>
      </c>
      <c r="C18" s="75" t="s">
        <v>29</v>
      </c>
    </row>
    <row r="19" spans="1:3" ht="13.5" customHeight="1" x14ac:dyDescent="0.25">
      <c r="A19" s="5" t="s">
        <v>30</v>
      </c>
      <c r="B19" s="8">
        <f>B18*PARAMETERS!B28</f>
        <v>74976.28</v>
      </c>
      <c r="C19" s="7" t="s">
        <v>31</v>
      </c>
    </row>
    <row r="20" spans="1:3" ht="13.5" customHeight="1" x14ac:dyDescent="0.25">
      <c r="A20" s="76" t="s">
        <v>32</v>
      </c>
      <c r="B20" s="77">
        <f>B18+B19</f>
        <v>1949383.28</v>
      </c>
      <c r="C20" s="78" t="s">
        <v>33</v>
      </c>
    </row>
    <row r="21" spans="1:3" x14ac:dyDescent="0.25">
      <c r="A21" s="68"/>
      <c r="B21" s="69"/>
      <c r="C21" s="68"/>
    </row>
    <row r="22" spans="1:3" ht="18" customHeight="1" x14ac:dyDescent="0.25">
      <c r="A22" s="63" t="s">
        <v>34</v>
      </c>
      <c r="B22" s="63"/>
      <c r="C22" s="63"/>
    </row>
    <row r="23" spans="1:3" ht="13.5" customHeight="1" x14ac:dyDescent="0.25">
      <c r="A23" s="11" t="s">
        <v>35</v>
      </c>
      <c r="B23" s="11" t="s">
        <v>36</v>
      </c>
      <c r="C23" s="11" t="s">
        <v>37</v>
      </c>
    </row>
    <row r="24" spans="1:3" ht="13.5" customHeight="1" x14ac:dyDescent="0.25">
      <c r="A24" s="5" t="s">
        <v>38</v>
      </c>
      <c r="B24" s="8">
        <f>B18/PARAMETERS!B29</f>
        <v>65.312624133245066</v>
      </c>
      <c r="C24" s="12" t="s">
        <v>39</v>
      </c>
    </row>
    <row r="25" spans="1:3" x14ac:dyDescent="0.25">
      <c r="A25" s="68"/>
      <c r="B25" s="69"/>
      <c r="C25" s="68"/>
    </row>
    <row r="26" spans="1:3" ht="18" customHeight="1" x14ac:dyDescent="0.25">
      <c r="A26" s="63" t="s">
        <v>40</v>
      </c>
      <c r="B26" s="63"/>
      <c r="C26" s="63"/>
    </row>
    <row r="27" spans="1:3" ht="13.5" customHeight="1" x14ac:dyDescent="0.25">
      <c r="A27" s="4" t="s">
        <v>41</v>
      </c>
      <c r="B27" s="4" t="s">
        <v>3</v>
      </c>
      <c r="C27" s="4" t="s">
        <v>42</v>
      </c>
    </row>
    <row r="28" spans="1:3" ht="13.5" customHeight="1" x14ac:dyDescent="0.25">
      <c r="A28" s="5" t="s">
        <v>43</v>
      </c>
      <c r="B28" s="8">
        <f>SUMIF(SCOPE_DETAIL!$I:$I,"D30",SCOPE_DETAIL!$G:$G)</f>
        <v>303950</v>
      </c>
      <c r="C28" s="7" t="s">
        <v>44</v>
      </c>
    </row>
    <row r="29" spans="1:3" ht="13.5" customHeight="1" x14ac:dyDescent="0.25">
      <c r="A29" s="5" t="s">
        <v>45</v>
      </c>
      <c r="B29" s="8">
        <f>SUMIF(SCOPE_DETAIL!$I:$I,"C10",SCOPE_DETAIL!$G:$G)</f>
        <v>26599.4</v>
      </c>
      <c r="C29" s="7" t="s">
        <v>46</v>
      </c>
    </row>
    <row r="30" spans="1:3" ht="13.5" customHeight="1" x14ac:dyDescent="0.25">
      <c r="A30" s="5" t="s">
        <v>47</v>
      </c>
      <c r="B30" s="8">
        <f>SUMIF(SCOPE_DETAIL!$I:$I,"D50",SCOPE_DETAIL!$G:$G)</f>
        <v>13500</v>
      </c>
      <c r="C30" s="7" t="s">
        <v>48</v>
      </c>
    </row>
    <row r="31" spans="1:3" ht="13.5" customHeight="1" x14ac:dyDescent="0.25">
      <c r="A31" s="5" t="s">
        <v>49</v>
      </c>
      <c r="B31" s="8">
        <f>SUMIF(SCOPE_DETAIL!$I:$I,"F20",SCOPE_DETAIL!$G:$G)</f>
        <v>2700</v>
      </c>
      <c r="C31" s="7" t="s">
        <v>50</v>
      </c>
    </row>
    <row r="32" spans="1:3" ht="13.5" customHeight="1" x14ac:dyDescent="0.25">
      <c r="A32" s="76" t="s">
        <v>51</v>
      </c>
      <c r="B32" s="77">
        <f>SUMIF(SCOPE_DETAIL!$I:$I,"D20",SCOPE_DETAIL!$G:$G)</f>
        <v>7000</v>
      </c>
      <c r="C32" s="78" t="s">
        <v>52</v>
      </c>
    </row>
    <row r="33" spans="1:3" ht="13.5" customHeight="1" x14ac:dyDescent="0.25">
      <c r="A33" s="76" t="s">
        <v>53</v>
      </c>
      <c r="B33" s="77">
        <f>B28+B29+B30+B31+B32</f>
        <v>353749.4</v>
      </c>
      <c r="C33" s="78" t="s">
        <v>54</v>
      </c>
    </row>
    <row r="34" spans="1:3" ht="18" customHeight="1" x14ac:dyDescent="0.25">
      <c r="A34" s="63" t="s">
        <v>55</v>
      </c>
      <c r="B34" s="63"/>
      <c r="C34" s="63"/>
    </row>
    <row r="35" spans="1:3" ht="13.5" customHeight="1" x14ac:dyDescent="0.25">
      <c r="A35" s="11" t="s">
        <v>56</v>
      </c>
      <c r="B35" s="11" t="s">
        <v>57</v>
      </c>
      <c r="C35" s="11" t="s">
        <v>58</v>
      </c>
    </row>
    <row r="36" spans="1:3" ht="13.5" customHeight="1" x14ac:dyDescent="0.25">
      <c r="A36" s="13" t="s">
        <v>299</v>
      </c>
      <c r="B36" s="14">
        <v>1378343</v>
      </c>
      <c r="C36" s="15" t="s">
        <v>304</v>
      </c>
    </row>
    <row r="37" spans="1:3" ht="13.5" customHeight="1" x14ac:dyDescent="0.25">
      <c r="A37" s="13" t="s">
        <v>300</v>
      </c>
      <c r="B37" s="14">
        <v>1375953</v>
      </c>
      <c r="C37" s="15" t="s">
        <v>302</v>
      </c>
    </row>
    <row r="38" spans="1:3" ht="22.5" x14ac:dyDescent="0.25">
      <c r="A38" s="13" t="s">
        <v>301</v>
      </c>
      <c r="B38" s="14">
        <v>1874407</v>
      </c>
      <c r="C38" s="15" t="s">
        <v>305</v>
      </c>
    </row>
    <row r="39" spans="1:3" ht="13.5" customHeight="1" x14ac:dyDescent="0.25">
      <c r="A39" s="61" t="s">
        <v>59</v>
      </c>
      <c r="B39" s="63"/>
      <c r="C39" s="63"/>
    </row>
    <row r="40" spans="1:3" ht="15.75" customHeight="1" x14ac:dyDescent="0.25">
      <c r="A40" s="16" t="s">
        <v>60</v>
      </c>
      <c r="B40" s="64" t="s">
        <v>61</v>
      </c>
      <c r="C40" s="64"/>
    </row>
    <row r="41" spans="1:3" ht="22.5" customHeight="1" x14ac:dyDescent="0.25">
      <c r="A41" s="16" t="s">
        <v>62</v>
      </c>
      <c r="B41" s="64" t="s">
        <v>63</v>
      </c>
      <c r="C41" s="64"/>
    </row>
    <row r="42" spans="1:3" ht="22.5" customHeight="1" x14ac:dyDescent="0.25">
      <c r="A42" s="16" t="s">
        <v>64</v>
      </c>
      <c r="B42" s="64" t="s">
        <v>309</v>
      </c>
      <c r="C42" s="64"/>
    </row>
    <row r="43" spans="1:3" ht="22.5" customHeight="1" x14ac:dyDescent="0.25">
      <c r="A43" s="16" t="s">
        <v>65</v>
      </c>
      <c r="B43" s="64" t="s">
        <v>66</v>
      </c>
      <c r="C43" s="64"/>
    </row>
    <row r="44" spans="1:3" ht="22.5" customHeight="1" x14ac:dyDescent="0.25">
      <c r="A44" s="16" t="s">
        <v>67</v>
      </c>
      <c r="B44" s="64" t="s">
        <v>68</v>
      </c>
      <c r="C44" s="64"/>
    </row>
    <row r="45" spans="1:3" ht="22.5" customHeight="1" x14ac:dyDescent="0.25">
      <c r="A45" s="16" t="s">
        <v>69</v>
      </c>
      <c r="B45" s="64" t="s">
        <v>70</v>
      </c>
      <c r="C45" s="64"/>
    </row>
    <row r="46" spans="1:3" ht="22.5" customHeight="1" x14ac:dyDescent="0.25">
      <c r="A46" s="16" t="s">
        <v>71</v>
      </c>
      <c r="B46" s="64" t="s">
        <v>72</v>
      </c>
      <c r="C46" s="64"/>
    </row>
    <row r="47" spans="1:3" ht="26.25" customHeight="1" x14ac:dyDescent="0.25">
      <c r="A47" s="16" t="s">
        <v>73</v>
      </c>
      <c r="B47" s="64" t="s">
        <v>74</v>
      </c>
      <c r="C47" s="64"/>
    </row>
    <row r="48" spans="1:3" ht="42.75" customHeight="1" x14ac:dyDescent="0.25">
      <c r="A48" s="16" t="s">
        <v>75</v>
      </c>
      <c r="B48" s="64" t="s">
        <v>303</v>
      </c>
      <c r="C48" s="64"/>
    </row>
    <row r="49" spans="1:3" ht="22.5" customHeight="1" x14ac:dyDescent="0.25">
      <c r="A49" s="16" t="s">
        <v>76</v>
      </c>
      <c r="B49" s="64" t="s">
        <v>77</v>
      </c>
      <c r="C49" s="64"/>
    </row>
    <row r="50" spans="1:3" ht="58.5" customHeight="1" x14ac:dyDescent="0.25">
      <c r="A50" s="16" t="s">
        <v>78</v>
      </c>
      <c r="B50" s="64" t="s">
        <v>79</v>
      </c>
      <c r="C50" s="64"/>
    </row>
    <row r="51" spans="1:3" ht="22.5" customHeight="1" x14ac:dyDescent="0.25">
      <c r="A51" s="16" t="s">
        <v>80</v>
      </c>
      <c r="B51" s="64" t="s">
        <v>307</v>
      </c>
      <c r="C51" s="64"/>
    </row>
    <row r="52" spans="1:3" ht="29.25" customHeight="1" x14ac:dyDescent="0.25">
      <c r="A52" s="16" t="s">
        <v>81</v>
      </c>
      <c r="B52" s="64" t="s">
        <v>306</v>
      </c>
      <c r="C52" s="64"/>
    </row>
  </sheetData>
  <mergeCells count="20">
    <mergeCell ref="B48:C48"/>
    <mergeCell ref="B49:C49"/>
    <mergeCell ref="B50:C50"/>
    <mergeCell ref="B51:C51"/>
    <mergeCell ref="B52:C52"/>
    <mergeCell ref="B43:C43"/>
    <mergeCell ref="B44:C44"/>
    <mergeCell ref="B45:C45"/>
    <mergeCell ref="B46:C46"/>
    <mergeCell ref="B47:C47"/>
    <mergeCell ref="A34:C34"/>
    <mergeCell ref="B39:C39"/>
    <mergeCell ref="B40:C40"/>
    <mergeCell ref="B41:C41"/>
    <mergeCell ref="B42:C42"/>
    <mergeCell ref="A1:C1"/>
    <mergeCell ref="A3:C3"/>
    <mergeCell ref="A13:C13"/>
    <mergeCell ref="A22:C22"/>
    <mergeCell ref="A26:C26"/>
  </mergeCells>
  <pageMargins left="0.75" right="0.75" top="1" bottom="1" header="0.511811023622047" footer="0.51180555555555596"/>
  <pageSetup paperSize="9" orientation="portrait" horizontalDpi="300" verticalDpi="300"/>
  <headerFooter>
    <oddFooter>&amp;L&amp;10 _x005F_x000d_# DISTRIBUTION: DoW COMMUNITY ONLY_x005F_x000d_# DISTRIBUTION: DoW COMMUNITY ONLY_x000D_&amp;1#&amp;"Calibri"&amp;10&amp;K000000 DISTRIBUTION: DoW COMMUNITY ONLY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49"/>
  <sheetViews>
    <sheetView zoomScaleNormal="100" workbookViewId="0">
      <selection activeCell="J34" sqref="J34"/>
    </sheetView>
  </sheetViews>
  <sheetFormatPr defaultColWidth="8.7109375" defaultRowHeight="15" x14ac:dyDescent="0.25"/>
  <cols>
    <col min="1" max="1" width="7" style="1" customWidth="1"/>
    <col min="2" max="2" width="13" style="2" customWidth="1"/>
    <col min="3" max="3" width="55" style="1" customWidth="1"/>
    <col min="4" max="5" width="6" style="1" customWidth="1"/>
    <col min="6" max="8" width="14" style="2" customWidth="1"/>
    <col min="9" max="9" width="11" style="1" customWidth="1"/>
    <col min="10" max="10" width="58" style="1" customWidth="1"/>
    <col min="11" max="16384" width="8.7109375" style="1"/>
  </cols>
  <sheetData>
    <row r="1" spans="1:10" ht="18" customHeight="1" x14ac:dyDescent="0.25">
      <c r="A1" s="62" t="s">
        <v>82</v>
      </c>
      <c r="B1" s="62"/>
      <c r="C1" s="62"/>
      <c r="D1" s="62"/>
      <c r="E1" s="62"/>
      <c r="F1" s="62"/>
      <c r="G1" s="62"/>
      <c r="H1" s="62"/>
      <c r="I1" s="62"/>
      <c r="J1" s="62"/>
    </row>
    <row r="2" spans="1:10" ht="18" customHeight="1" x14ac:dyDescent="0.25">
      <c r="A2" s="65" t="s">
        <v>83</v>
      </c>
      <c r="B2" s="65"/>
      <c r="C2" s="65"/>
      <c r="D2" s="65"/>
      <c r="E2" s="65"/>
      <c r="F2" s="65"/>
      <c r="G2" s="65"/>
      <c r="H2" s="65"/>
      <c r="I2" s="65"/>
      <c r="J2" s="65"/>
    </row>
    <row r="3" spans="1:10" ht="27.75" customHeight="1" x14ac:dyDescent="0.25">
      <c r="A3" s="4" t="s">
        <v>84</v>
      </c>
      <c r="B3" s="4" t="s">
        <v>85</v>
      </c>
      <c r="C3" s="4" t="s">
        <v>86</v>
      </c>
      <c r="D3" s="4" t="s">
        <v>87</v>
      </c>
      <c r="E3" s="4" t="s">
        <v>88</v>
      </c>
      <c r="F3" s="4" t="s">
        <v>89</v>
      </c>
      <c r="G3" s="4" t="s">
        <v>90</v>
      </c>
      <c r="H3" s="4" t="s">
        <v>91</v>
      </c>
      <c r="I3" s="4" t="s">
        <v>92</v>
      </c>
      <c r="J3" s="4" t="s">
        <v>93</v>
      </c>
    </row>
    <row r="4" spans="1:10" ht="13.5" customHeight="1" x14ac:dyDescent="0.25">
      <c r="A4" s="63" t="s">
        <v>94</v>
      </c>
      <c r="B4" s="63"/>
      <c r="C4" s="63"/>
      <c r="D4" s="63"/>
      <c r="E4" s="63"/>
      <c r="F4" s="63"/>
      <c r="G4" s="63"/>
      <c r="H4" s="63"/>
      <c r="I4" s="63"/>
      <c r="J4" s="63"/>
    </row>
    <row r="5" spans="1:10" ht="24" customHeight="1" x14ac:dyDescent="0.25">
      <c r="A5" s="17">
        <v>1</v>
      </c>
      <c r="B5" s="18" t="s">
        <v>95</v>
      </c>
      <c r="C5" s="19" t="s">
        <v>96</v>
      </c>
      <c r="D5" s="20">
        <v>78</v>
      </c>
      <c r="E5" s="17" t="s">
        <v>97</v>
      </c>
      <c r="F5" s="21">
        <v>425</v>
      </c>
      <c r="G5" s="22">
        <f>D5*F5</f>
        <v>33150</v>
      </c>
      <c r="H5" s="23">
        <f>G5*PARAMETERS!$B$33</f>
        <v>51714</v>
      </c>
      <c r="I5" s="17" t="s">
        <v>43</v>
      </c>
      <c r="J5" s="24" t="s">
        <v>98</v>
      </c>
    </row>
    <row r="6" spans="1:10" ht="24" customHeight="1" x14ac:dyDescent="0.25">
      <c r="A6" s="17">
        <v>2</v>
      </c>
      <c r="B6" s="18" t="s">
        <v>95</v>
      </c>
      <c r="C6" s="19" t="s">
        <v>99</v>
      </c>
      <c r="D6" s="20">
        <v>78</v>
      </c>
      <c r="E6" s="17" t="s">
        <v>97</v>
      </c>
      <c r="F6" s="21">
        <v>150</v>
      </c>
      <c r="G6" s="22">
        <f>D6*F6</f>
        <v>11700</v>
      </c>
      <c r="H6" s="23">
        <f>G6*PARAMETERS!$B$33</f>
        <v>18252</v>
      </c>
      <c r="I6" s="17" t="s">
        <v>43</v>
      </c>
      <c r="J6" s="24" t="s">
        <v>100</v>
      </c>
    </row>
    <row r="7" spans="1:10" ht="13.5" customHeight="1" x14ac:dyDescent="0.25">
      <c r="A7" s="66" t="s">
        <v>101</v>
      </c>
      <c r="B7" s="66"/>
      <c r="C7" s="66"/>
      <c r="D7" s="66"/>
      <c r="E7" s="66"/>
      <c r="F7" s="66"/>
      <c r="G7" s="26">
        <f>G5+G6</f>
        <v>44850</v>
      </c>
      <c r="H7" s="27">
        <f>G7*PARAMETERS!$B$33</f>
        <v>69966</v>
      </c>
      <c r="I7" s="28"/>
      <c r="J7" s="28"/>
    </row>
    <row r="8" spans="1:10" ht="13.5" customHeight="1" x14ac:dyDescent="0.25">
      <c r="A8" s="63" t="s">
        <v>102</v>
      </c>
      <c r="B8" s="63"/>
      <c r="C8" s="63"/>
      <c r="D8" s="63"/>
      <c r="E8" s="63"/>
      <c r="F8" s="63"/>
      <c r="G8" s="63"/>
      <c r="H8" s="63"/>
      <c r="I8" s="63"/>
      <c r="J8" s="63"/>
    </row>
    <row r="9" spans="1:10" ht="36" customHeight="1" x14ac:dyDescent="0.25">
      <c r="A9" s="17">
        <v>3</v>
      </c>
      <c r="B9" s="18" t="s">
        <v>103</v>
      </c>
      <c r="C9" s="19" t="s">
        <v>104</v>
      </c>
      <c r="D9" s="20">
        <v>1</v>
      </c>
      <c r="E9" s="17" t="s">
        <v>105</v>
      </c>
      <c r="F9" s="21">
        <v>12000</v>
      </c>
      <c r="G9" s="22">
        <f>D9*F9</f>
        <v>12000</v>
      </c>
      <c r="H9" s="23">
        <f>G9*PARAMETERS!$B$33</f>
        <v>18720</v>
      </c>
      <c r="I9" s="17" t="s">
        <v>43</v>
      </c>
      <c r="J9" s="24" t="s">
        <v>106</v>
      </c>
    </row>
    <row r="10" spans="1:10" ht="13.5" customHeight="1" x14ac:dyDescent="0.25">
      <c r="A10" s="66" t="s">
        <v>107</v>
      </c>
      <c r="B10" s="66"/>
      <c r="C10" s="66"/>
      <c r="D10" s="66"/>
      <c r="E10" s="66"/>
      <c r="F10" s="66"/>
      <c r="G10" s="26">
        <f>G9</f>
        <v>12000</v>
      </c>
      <c r="H10" s="27">
        <f>G10*PARAMETERS!$B$33</f>
        <v>18720</v>
      </c>
      <c r="I10" s="28"/>
      <c r="J10" s="28"/>
    </row>
    <row r="11" spans="1:10" ht="13.5" customHeight="1" x14ac:dyDescent="0.25">
      <c r="A11" s="63" t="s">
        <v>108</v>
      </c>
      <c r="B11" s="63"/>
      <c r="C11" s="63"/>
      <c r="D11" s="63"/>
      <c r="E11" s="63"/>
      <c r="F11" s="63"/>
      <c r="G11" s="63"/>
      <c r="H11" s="63"/>
      <c r="I11" s="63"/>
      <c r="J11" s="63"/>
    </row>
    <row r="12" spans="1:10" ht="36" customHeight="1" x14ac:dyDescent="0.25">
      <c r="A12" s="17">
        <v>4</v>
      </c>
      <c r="B12" s="18" t="s">
        <v>109</v>
      </c>
      <c r="C12" s="19" t="s">
        <v>110</v>
      </c>
      <c r="D12" s="20">
        <v>25</v>
      </c>
      <c r="E12" s="17" t="s">
        <v>97</v>
      </c>
      <c r="F12" s="21">
        <v>650</v>
      </c>
      <c r="G12" s="22">
        <f>D12*F12</f>
        <v>16250</v>
      </c>
      <c r="H12" s="23">
        <f>G12*PARAMETERS!$B$33</f>
        <v>25350</v>
      </c>
      <c r="I12" s="17" t="s">
        <v>43</v>
      </c>
      <c r="J12" s="24" t="s">
        <v>111</v>
      </c>
    </row>
    <row r="13" spans="1:10" ht="36" customHeight="1" x14ac:dyDescent="0.25">
      <c r="A13" s="17">
        <v>5</v>
      </c>
      <c r="B13" s="18" t="s">
        <v>109</v>
      </c>
      <c r="C13" s="19" t="s">
        <v>112</v>
      </c>
      <c r="D13" s="20">
        <v>5</v>
      </c>
      <c r="E13" s="17" t="s">
        <v>97</v>
      </c>
      <c r="F13" s="21">
        <v>2500</v>
      </c>
      <c r="G13" s="22">
        <f>D13*F13</f>
        <v>12500</v>
      </c>
      <c r="H13" s="23">
        <f>G13*PARAMETERS!$B$33</f>
        <v>19500</v>
      </c>
      <c r="I13" s="17" t="s">
        <v>43</v>
      </c>
      <c r="J13" s="24" t="s">
        <v>113</v>
      </c>
    </row>
    <row r="14" spans="1:10" ht="48" customHeight="1" x14ac:dyDescent="0.25">
      <c r="A14" s="17">
        <v>6</v>
      </c>
      <c r="B14" s="18" t="s">
        <v>109</v>
      </c>
      <c r="C14" s="19" t="s">
        <v>114</v>
      </c>
      <c r="D14" s="20">
        <v>1</v>
      </c>
      <c r="E14" s="17" t="s">
        <v>97</v>
      </c>
      <c r="F14" s="21">
        <v>650</v>
      </c>
      <c r="G14" s="22">
        <f>D14*F14</f>
        <v>650</v>
      </c>
      <c r="H14" s="23">
        <f>G14*PARAMETERS!$B$33</f>
        <v>1014</v>
      </c>
      <c r="I14" s="17" t="s">
        <v>43</v>
      </c>
      <c r="J14" s="24" t="s">
        <v>115</v>
      </c>
    </row>
    <row r="15" spans="1:10" ht="13.5" customHeight="1" x14ac:dyDescent="0.25">
      <c r="A15" s="66" t="s">
        <v>116</v>
      </c>
      <c r="B15" s="66"/>
      <c r="C15" s="66"/>
      <c r="D15" s="66"/>
      <c r="E15" s="66"/>
      <c r="F15" s="66"/>
      <c r="G15" s="26">
        <f>G12+G13+G14</f>
        <v>29400</v>
      </c>
      <c r="H15" s="27">
        <f>G15*PARAMETERS!$B$33</f>
        <v>45864</v>
      </c>
      <c r="I15" s="28"/>
      <c r="J15" s="28"/>
    </row>
    <row r="16" spans="1:10" ht="13.5" customHeight="1" x14ac:dyDescent="0.25">
      <c r="A16" s="63" t="s">
        <v>117</v>
      </c>
      <c r="B16" s="63"/>
      <c r="C16" s="63"/>
      <c r="D16" s="63"/>
      <c r="E16" s="63"/>
      <c r="F16" s="63"/>
      <c r="G16" s="63"/>
      <c r="H16" s="63"/>
      <c r="I16" s="63"/>
      <c r="J16" s="63"/>
    </row>
    <row r="17" spans="1:10" ht="30" customHeight="1" x14ac:dyDescent="0.25">
      <c r="A17" s="17">
        <v>7</v>
      </c>
      <c r="B17" s="18" t="s">
        <v>118</v>
      </c>
      <c r="C17" s="19" t="s">
        <v>119</v>
      </c>
      <c r="D17" s="20">
        <v>1</v>
      </c>
      <c r="E17" s="17" t="s">
        <v>105</v>
      </c>
      <c r="F17" s="21">
        <v>18000</v>
      </c>
      <c r="G17" s="22">
        <f>D17*F17</f>
        <v>18000</v>
      </c>
      <c r="H17" s="23">
        <f>G17*PARAMETERS!$B$33</f>
        <v>28080</v>
      </c>
      <c r="I17" s="17" t="s">
        <v>43</v>
      </c>
      <c r="J17" s="24" t="s">
        <v>120</v>
      </c>
    </row>
    <row r="18" spans="1:10" ht="13.5" customHeight="1" x14ac:dyDescent="0.25">
      <c r="A18" s="66" t="s">
        <v>121</v>
      </c>
      <c r="B18" s="66"/>
      <c r="C18" s="66"/>
      <c r="D18" s="66"/>
      <c r="E18" s="66"/>
      <c r="F18" s="66"/>
      <c r="G18" s="26">
        <f>G17</f>
        <v>18000</v>
      </c>
      <c r="H18" s="27">
        <f>G18*PARAMETERS!$B$33</f>
        <v>28080</v>
      </c>
      <c r="I18" s="28"/>
      <c r="J18" s="28"/>
    </row>
    <row r="19" spans="1:10" ht="13.5" customHeight="1" x14ac:dyDescent="0.25">
      <c r="A19" s="63" t="s">
        <v>122</v>
      </c>
      <c r="B19" s="63"/>
      <c r="C19" s="63"/>
      <c r="D19" s="63"/>
      <c r="E19" s="63"/>
      <c r="F19" s="63"/>
      <c r="G19" s="63"/>
      <c r="H19" s="63"/>
      <c r="I19" s="63"/>
      <c r="J19" s="63"/>
    </row>
    <row r="20" spans="1:10" ht="24" customHeight="1" x14ac:dyDescent="0.25">
      <c r="A20" s="17">
        <v>8</v>
      </c>
      <c r="B20" s="18" t="s">
        <v>123</v>
      </c>
      <c r="C20" s="19" t="s">
        <v>124</v>
      </c>
      <c r="D20" s="20">
        <v>2</v>
      </c>
      <c r="E20" s="17" t="s">
        <v>97</v>
      </c>
      <c r="F20" s="21">
        <v>4200</v>
      </c>
      <c r="G20" s="22">
        <f>D20*F20</f>
        <v>8400</v>
      </c>
      <c r="H20" s="23">
        <f>G20*PARAMETERS!$B$33</f>
        <v>13104</v>
      </c>
      <c r="I20" s="17" t="s">
        <v>43</v>
      </c>
      <c r="J20" s="24" t="s">
        <v>125</v>
      </c>
    </row>
    <row r="21" spans="1:10" ht="24" customHeight="1" x14ac:dyDescent="0.25">
      <c r="A21" s="17">
        <v>9</v>
      </c>
      <c r="B21" s="18" t="s">
        <v>123</v>
      </c>
      <c r="C21" s="19" t="s">
        <v>126</v>
      </c>
      <c r="D21" s="20">
        <v>1</v>
      </c>
      <c r="E21" s="17" t="s">
        <v>105</v>
      </c>
      <c r="F21" s="21">
        <v>3500</v>
      </c>
      <c r="G21" s="22">
        <f>D21*F21</f>
        <v>3500</v>
      </c>
      <c r="H21" s="23">
        <f>G21*PARAMETERS!$B$33</f>
        <v>5460</v>
      </c>
      <c r="I21" s="17" t="s">
        <v>43</v>
      </c>
      <c r="J21" s="24" t="s">
        <v>127</v>
      </c>
    </row>
    <row r="22" spans="1:10" ht="36" customHeight="1" x14ac:dyDescent="0.25">
      <c r="A22" s="17">
        <v>10</v>
      </c>
      <c r="B22" s="18" t="s">
        <v>123</v>
      </c>
      <c r="C22" s="19" t="s">
        <v>128</v>
      </c>
      <c r="D22" s="20">
        <v>2</v>
      </c>
      <c r="E22" s="17" t="s">
        <v>97</v>
      </c>
      <c r="F22" s="21">
        <v>4500</v>
      </c>
      <c r="G22" s="22">
        <f>D22*F22</f>
        <v>9000</v>
      </c>
      <c r="H22" s="23">
        <f>G22*PARAMETERS!$B$33</f>
        <v>14040</v>
      </c>
      <c r="I22" s="17" t="s">
        <v>43</v>
      </c>
      <c r="J22" s="24" t="s">
        <v>129</v>
      </c>
    </row>
    <row r="23" spans="1:10" ht="36" customHeight="1" x14ac:dyDescent="0.25">
      <c r="A23" s="17">
        <v>11</v>
      </c>
      <c r="B23" s="18" t="s">
        <v>123</v>
      </c>
      <c r="C23" s="19" t="s">
        <v>130</v>
      </c>
      <c r="D23" s="20">
        <v>1</v>
      </c>
      <c r="E23" s="17" t="s">
        <v>105</v>
      </c>
      <c r="F23" s="21">
        <v>8500</v>
      </c>
      <c r="G23" s="22">
        <f>D23*F23</f>
        <v>8500</v>
      </c>
      <c r="H23" s="23">
        <f>G23*PARAMETERS!$B$33</f>
        <v>13260</v>
      </c>
      <c r="I23" s="17" t="s">
        <v>43</v>
      </c>
      <c r="J23" s="24" t="s">
        <v>131</v>
      </c>
    </row>
    <row r="24" spans="1:10" ht="13.5" customHeight="1" x14ac:dyDescent="0.25">
      <c r="A24" s="66" t="s">
        <v>132</v>
      </c>
      <c r="B24" s="66"/>
      <c r="C24" s="66"/>
      <c r="D24" s="66"/>
      <c r="E24" s="66"/>
      <c r="F24" s="66"/>
      <c r="G24" s="26">
        <f>G20+G21+G22+G23</f>
        <v>29400</v>
      </c>
      <c r="H24" s="27">
        <f>G24*PARAMETERS!$B$33</f>
        <v>45864</v>
      </c>
      <c r="I24" s="28"/>
      <c r="J24" s="28"/>
    </row>
    <row r="25" spans="1:10" ht="13.5" customHeight="1" x14ac:dyDescent="0.25">
      <c r="A25" s="63" t="s">
        <v>133</v>
      </c>
      <c r="B25" s="63"/>
      <c r="C25" s="63"/>
      <c r="D25" s="63"/>
      <c r="E25" s="63"/>
      <c r="F25" s="63"/>
      <c r="G25" s="63"/>
      <c r="H25" s="63"/>
      <c r="I25" s="63"/>
      <c r="J25" s="63"/>
    </row>
    <row r="26" spans="1:10" ht="24" customHeight="1" x14ac:dyDescent="0.25">
      <c r="A26" s="17">
        <v>12</v>
      </c>
      <c r="B26" s="18" t="s">
        <v>134</v>
      </c>
      <c r="C26" s="19" t="s">
        <v>135</v>
      </c>
      <c r="D26" s="20">
        <v>1</v>
      </c>
      <c r="E26" s="17" t="s">
        <v>97</v>
      </c>
      <c r="F26" s="21">
        <v>1500</v>
      </c>
      <c r="G26" s="22">
        <f>D26*F26</f>
        <v>1500</v>
      </c>
      <c r="H26" s="23">
        <f>G26*PARAMETERS!$B$33</f>
        <v>2340</v>
      </c>
      <c r="I26" s="17" t="s">
        <v>47</v>
      </c>
      <c r="J26" s="24" t="s">
        <v>136</v>
      </c>
    </row>
    <row r="27" spans="1:10" ht="13.5" customHeight="1" x14ac:dyDescent="0.25">
      <c r="A27" s="66" t="s">
        <v>137</v>
      </c>
      <c r="B27" s="66"/>
      <c r="C27" s="66"/>
      <c r="D27" s="66"/>
      <c r="E27" s="66"/>
      <c r="F27" s="66"/>
      <c r="G27" s="26">
        <f>G26</f>
        <v>1500</v>
      </c>
      <c r="H27" s="27">
        <f>G27*PARAMETERS!$B$33</f>
        <v>2340</v>
      </c>
      <c r="I27" s="28"/>
      <c r="J27" s="28"/>
    </row>
    <row r="28" spans="1:10" ht="13.5" customHeight="1" x14ac:dyDescent="0.25">
      <c r="A28" s="63" t="s">
        <v>138</v>
      </c>
      <c r="B28" s="63"/>
      <c r="C28" s="63"/>
      <c r="D28" s="63"/>
      <c r="E28" s="63"/>
      <c r="F28" s="63"/>
      <c r="G28" s="63"/>
      <c r="H28" s="63"/>
      <c r="I28" s="63"/>
      <c r="J28" s="63"/>
    </row>
    <row r="29" spans="1:10" ht="13.5" customHeight="1" x14ac:dyDescent="0.25">
      <c r="A29" s="63" t="s">
        <v>139</v>
      </c>
      <c r="B29" s="63"/>
      <c r="C29" s="63"/>
      <c r="D29" s="63"/>
      <c r="E29" s="63"/>
      <c r="F29" s="63"/>
      <c r="G29" s="63"/>
      <c r="H29" s="63"/>
      <c r="I29" s="63"/>
      <c r="J29" s="63"/>
    </row>
    <row r="30" spans="1:10" ht="24" customHeight="1" x14ac:dyDescent="0.25">
      <c r="A30" s="17">
        <v>13</v>
      </c>
      <c r="B30" s="18" t="s">
        <v>140</v>
      </c>
      <c r="C30" s="19" t="s">
        <v>141</v>
      </c>
      <c r="D30" s="20">
        <v>1</v>
      </c>
      <c r="E30" s="17" t="s">
        <v>97</v>
      </c>
      <c r="F30" s="21">
        <v>1200</v>
      </c>
      <c r="G30" s="22">
        <f>D30*F30</f>
        <v>1200</v>
      </c>
      <c r="H30" s="23">
        <f>G30*PARAMETERS!$B$33</f>
        <v>1872</v>
      </c>
      <c r="I30" s="17" t="s">
        <v>49</v>
      </c>
      <c r="J30" s="24" t="s">
        <v>142</v>
      </c>
    </row>
    <row r="31" spans="1:10" ht="30" customHeight="1" x14ac:dyDescent="0.25">
      <c r="A31" s="17">
        <v>14</v>
      </c>
      <c r="B31" s="18" t="s">
        <v>140</v>
      </c>
      <c r="C31" s="19" t="s">
        <v>143</v>
      </c>
      <c r="D31" s="20">
        <v>1</v>
      </c>
      <c r="E31" s="17" t="s">
        <v>97</v>
      </c>
      <c r="F31" s="21">
        <v>1500</v>
      </c>
      <c r="G31" s="22">
        <f>D31*F31</f>
        <v>1500</v>
      </c>
      <c r="H31" s="23">
        <f>G31*PARAMETERS!$B$33</f>
        <v>2340</v>
      </c>
      <c r="I31" s="17" t="s">
        <v>49</v>
      </c>
      <c r="J31" s="24" t="s">
        <v>144</v>
      </c>
    </row>
    <row r="32" spans="1:10" ht="13.5" customHeight="1" x14ac:dyDescent="0.25">
      <c r="A32" s="66" t="s">
        <v>145</v>
      </c>
      <c r="B32" s="66"/>
      <c r="C32" s="66"/>
      <c r="D32" s="66"/>
      <c r="E32" s="66"/>
      <c r="F32" s="66"/>
      <c r="G32" s="26">
        <f>G30+G31</f>
        <v>2700</v>
      </c>
      <c r="H32" s="27">
        <f>G32*PARAMETERS!$B$33</f>
        <v>4212</v>
      </c>
      <c r="I32" s="28"/>
      <c r="J32" s="28"/>
    </row>
    <row r="33" spans="1:10" ht="13.5" customHeight="1" x14ac:dyDescent="0.25">
      <c r="A33" s="63" t="s">
        <v>146</v>
      </c>
      <c r="B33" s="63"/>
      <c r="C33" s="63"/>
      <c r="D33" s="63"/>
      <c r="E33" s="63"/>
      <c r="F33" s="63"/>
      <c r="G33" s="63"/>
      <c r="H33" s="63"/>
      <c r="I33" s="63"/>
      <c r="J33" s="63"/>
    </row>
    <row r="34" spans="1:10" ht="63" customHeight="1" x14ac:dyDescent="0.25">
      <c r="A34" s="17">
        <v>15</v>
      </c>
      <c r="B34" s="18" t="s">
        <v>147</v>
      </c>
      <c r="C34" s="19" t="s">
        <v>148</v>
      </c>
      <c r="D34" s="20">
        <v>1</v>
      </c>
      <c r="E34" s="17" t="s">
        <v>97</v>
      </c>
      <c r="F34" s="21">
        <v>14599.4</v>
      </c>
      <c r="G34" s="22">
        <f>D34*F34</f>
        <v>14599.4</v>
      </c>
      <c r="H34" s="23">
        <f>G34*PARAMETERS!$B$33</f>
        <v>22775.063999999998</v>
      </c>
      <c r="I34" s="17" t="s">
        <v>45</v>
      </c>
      <c r="J34" s="24" t="s">
        <v>308</v>
      </c>
    </row>
    <row r="35" spans="1:10" ht="48" customHeight="1" x14ac:dyDescent="0.25">
      <c r="A35" s="17">
        <v>16</v>
      </c>
      <c r="B35" s="18" t="s">
        <v>147</v>
      </c>
      <c r="C35" s="19" t="s">
        <v>149</v>
      </c>
      <c r="D35" s="20">
        <v>10</v>
      </c>
      <c r="E35" s="17" t="s">
        <v>97</v>
      </c>
      <c r="F35" s="21">
        <v>1200</v>
      </c>
      <c r="G35" s="22">
        <f>D35*F35</f>
        <v>12000</v>
      </c>
      <c r="H35" s="23">
        <f>G35*PARAMETERS!$B$33</f>
        <v>18720</v>
      </c>
      <c r="I35" s="17" t="s">
        <v>45</v>
      </c>
      <c r="J35" s="24" t="s">
        <v>150</v>
      </c>
    </row>
    <row r="36" spans="1:10" ht="13.5" customHeight="1" x14ac:dyDescent="0.25">
      <c r="A36" s="66" t="s">
        <v>151</v>
      </c>
      <c r="B36" s="66"/>
      <c r="C36" s="66"/>
      <c r="D36" s="66"/>
      <c r="E36" s="66"/>
      <c r="F36" s="66"/>
      <c r="G36" s="26">
        <f>G34+G35</f>
        <v>26599.4</v>
      </c>
      <c r="H36" s="27">
        <f>G36*PARAMETERS!$B$33</f>
        <v>41495.064000000006</v>
      </c>
      <c r="I36" s="28"/>
      <c r="J36" s="28"/>
    </row>
    <row r="37" spans="1:10" ht="13.5" customHeight="1" x14ac:dyDescent="0.25">
      <c r="A37" s="63" t="s">
        <v>152</v>
      </c>
      <c r="B37" s="63"/>
      <c r="C37" s="63"/>
      <c r="D37" s="63"/>
      <c r="E37" s="63"/>
      <c r="F37" s="63"/>
      <c r="G37" s="63"/>
      <c r="H37" s="63"/>
      <c r="I37" s="63"/>
      <c r="J37" s="63"/>
    </row>
    <row r="38" spans="1:10" ht="48" customHeight="1" x14ac:dyDescent="0.25">
      <c r="A38" s="17">
        <v>17</v>
      </c>
      <c r="B38" s="18" t="s">
        <v>153</v>
      </c>
      <c r="C38" s="19" t="s">
        <v>154</v>
      </c>
      <c r="D38" s="20">
        <v>1</v>
      </c>
      <c r="E38" s="17" t="s">
        <v>105</v>
      </c>
      <c r="F38" s="21">
        <v>8500</v>
      </c>
      <c r="G38" s="22">
        <f>D38*F38</f>
        <v>8500</v>
      </c>
      <c r="H38" s="23">
        <f>G38*PARAMETERS!$B$33</f>
        <v>13260</v>
      </c>
      <c r="I38" s="17" t="s">
        <v>47</v>
      </c>
      <c r="J38" s="24" t="s">
        <v>155</v>
      </c>
    </row>
    <row r="39" spans="1:10" ht="30" customHeight="1" x14ac:dyDescent="0.25">
      <c r="A39" s="17">
        <v>18</v>
      </c>
      <c r="B39" s="18" t="s">
        <v>153</v>
      </c>
      <c r="C39" s="19" t="s">
        <v>156</v>
      </c>
      <c r="D39" s="20">
        <v>1</v>
      </c>
      <c r="E39" s="17" t="s">
        <v>105</v>
      </c>
      <c r="F39" s="21">
        <v>3500</v>
      </c>
      <c r="G39" s="22">
        <f>D39*F39</f>
        <v>3500</v>
      </c>
      <c r="H39" s="23">
        <f>G39*PARAMETERS!$B$33</f>
        <v>5460</v>
      </c>
      <c r="I39" s="17" t="s">
        <v>47</v>
      </c>
      <c r="J39" s="24" t="s">
        <v>157</v>
      </c>
    </row>
    <row r="40" spans="1:10" ht="13.5" customHeight="1" x14ac:dyDescent="0.25">
      <c r="A40" s="66" t="s">
        <v>158</v>
      </c>
      <c r="B40" s="66"/>
      <c r="C40" s="66"/>
      <c r="D40" s="66"/>
      <c r="E40" s="66"/>
      <c r="F40" s="66"/>
      <c r="G40" s="26">
        <f>G38+G39</f>
        <v>12000</v>
      </c>
      <c r="H40" s="27">
        <f>G40*PARAMETERS!$B$33</f>
        <v>18720</v>
      </c>
      <c r="I40" s="28"/>
      <c r="J40" s="28"/>
    </row>
    <row r="41" spans="1:10" x14ac:dyDescent="0.25">
      <c r="A41" s="67"/>
      <c r="B41" s="67"/>
      <c r="C41" s="67"/>
      <c r="D41" s="67"/>
      <c r="E41" s="67"/>
      <c r="F41" s="67"/>
    </row>
    <row r="42" spans="1:10" ht="13.5" customHeight="1" x14ac:dyDescent="0.25">
      <c r="A42" s="3" t="s">
        <v>159</v>
      </c>
      <c r="B42" s="3"/>
      <c r="C42" s="3"/>
      <c r="D42" s="3"/>
      <c r="E42" s="3"/>
      <c r="F42" s="3"/>
      <c r="G42" s="3"/>
      <c r="H42" s="3"/>
      <c r="I42" s="3"/>
      <c r="J42" s="3"/>
    </row>
    <row r="43" spans="1:10" ht="30" customHeight="1" x14ac:dyDescent="0.25">
      <c r="A43" s="17">
        <v>19</v>
      </c>
      <c r="B43" s="18" t="s">
        <v>160</v>
      </c>
      <c r="C43" s="19" t="s">
        <v>161</v>
      </c>
      <c r="D43" s="20">
        <v>1</v>
      </c>
      <c r="E43" s="17" t="s">
        <v>97</v>
      </c>
      <c r="F43" s="21">
        <v>42000</v>
      </c>
      <c r="G43" s="22">
        <f>D43*F43</f>
        <v>42000</v>
      </c>
      <c r="H43" s="23">
        <f>G43*PARAMETERS!$B$33</f>
        <v>65520</v>
      </c>
      <c r="I43" s="17" t="s">
        <v>43</v>
      </c>
      <c r="J43" s="24" t="s">
        <v>162</v>
      </c>
    </row>
    <row r="44" spans="1:10" ht="30" customHeight="1" x14ac:dyDescent="0.25">
      <c r="A44" s="17">
        <v>20</v>
      </c>
      <c r="B44" s="18" t="s">
        <v>160</v>
      </c>
      <c r="C44" s="19" t="s">
        <v>163</v>
      </c>
      <c r="D44" s="20">
        <v>1</v>
      </c>
      <c r="E44" s="17" t="s">
        <v>97</v>
      </c>
      <c r="F44" s="21">
        <v>89000</v>
      </c>
      <c r="G44" s="22">
        <f>D44*F44</f>
        <v>89000</v>
      </c>
      <c r="H44" s="23">
        <f>G44*PARAMETERS!$B$33</f>
        <v>138840</v>
      </c>
      <c r="I44" s="17" t="s">
        <v>43</v>
      </c>
      <c r="J44" s="24" t="s">
        <v>164</v>
      </c>
    </row>
    <row r="45" spans="1:10" ht="48" customHeight="1" x14ac:dyDescent="0.25">
      <c r="A45" s="17">
        <v>21</v>
      </c>
      <c r="B45" s="18" t="s">
        <v>160</v>
      </c>
      <c r="C45" s="19" t="s">
        <v>165</v>
      </c>
      <c r="D45" s="20">
        <v>1</v>
      </c>
      <c r="E45" s="17" t="s">
        <v>105</v>
      </c>
      <c r="F45" s="21">
        <v>39300</v>
      </c>
      <c r="G45" s="22">
        <f>D45*F45</f>
        <v>39300</v>
      </c>
      <c r="H45" s="23">
        <f>G45*PARAMETERS!$B$33</f>
        <v>61308</v>
      </c>
      <c r="I45" s="17" t="s">
        <v>43</v>
      </c>
      <c r="J45" s="24" t="s">
        <v>166</v>
      </c>
    </row>
    <row r="46" spans="1:10" ht="30" customHeight="1" x14ac:dyDescent="0.25">
      <c r="A46" s="17">
        <v>22</v>
      </c>
      <c r="B46" s="18" t="s">
        <v>160</v>
      </c>
      <c r="C46" s="19" t="s">
        <v>167</v>
      </c>
      <c r="D46" s="20">
        <v>1</v>
      </c>
      <c r="E46" s="17" t="s">
        <v>97</v>
      </c>
      <c r="F46" s="21">
        <v>3800</v>
      </c>
      <c r="G46" s="22">
        <f>D46*F46</f>
        <v>3800</v>
      </c>
      <c r="H46" s="23">
        <f>G46*PARAMETERS!$B$33</f>
        <v>5928</v>
      </c>
      <c r="I46" s="17" t="s">
        <v>51</v>
      </c>
      <c r="J46" s="24" t="s">
        <v>168</v>
      </c>
    </row>
    <row r="47" spans="1:10" ht="30" customHeight="1" thickBot="1" x14ac:dyDescent="0.3">
      <c r="A47" s="17">
        <v>23</v>
      </c>
      <c r="B47" s="18" t="s">
        <v>160</v>
      </c>
      <c r="C47" s="19" t="s">
        <v>169</v>
      </c>
      <c r="D47" s="20">
        <v>2</v>
      </c>
      <c r="E47" s="17" t="s">
        <v>97</v>
      </c>
      <c r="F47" s="21">
        <v>1600</v>
      </c>
      <c r="G47" s="22">
        <f>D47*F47</f>
        <v>3200</v>
      </c>
      <c r="H47" s="23">
        <f>G47*PARAMETERS!$B$33</f>
        <v>4992</v>
      </c>
      <c r="I47" s="17" t="s">
        <v>51</v>
      </c>
      <c r="J47" s="24" t="s">
        <v>170</v>
      </c>
    </row>
    <row r="48" spans="1:10" ht="13.5" customHeight="1" thickBot="1" x14ac:dyDescent="0.3">
      <c r="A48" s="25" t="s">
        <v>171</v>
      </c>
      <c r="B48" s="25"/>
      <c r="C48" s="25"/>
      <c r="D48" s="25"/>
      <c r="E48" s="25"/>
      <c r="F48" s="25"/>
      <c r="G48" s="26">
        <f>G43+G44+G45+G46+G47</f>
        <v>177300</v>
      </c>
      <c r="H48" s="27">
        <f>G48*PARAMETERS!$B$33</f>
        <v>276588</v>
      </c>
      <c r="I48" s="28"/>
      <c r="J48" s="28"/>
    </row>
    <row r="49" spans="1:10" ht="15.75" thickBot="1" x14ac:dyDescent="0.3">
      <c r="A49" s="9" t="s">
        <v>172</v>
      </c>
      <c r="B49" s="9"/>
      <c r="C49" s="9"/>
      <c r="D49" s="9"/>
      <c r="E49" s="9"/>
      <c r="F49" s="9"/>
      <c r="G49" s="10">
        <f>G7+G10+G15+G18+G24+G27+G32+G36+G40+G48</f>
        <v>353749.4</v>
      </c>
      <c r="H49" s="29">
        <f>G49*PARAMETERS!$B$33</f>
        <v>551849.06400000001</v>
      </c>
      <c r="I49" s="30"/>
      <c r="J49" s="30"/>
    </row>
  </sheetData>
  <mergeCells count="22">
    <mergeCell ref="A40:F40"/>
    <mergeCell ref="A41:F41"/>
    <mergeCell ref="A29:J29"/>
    <mergeCell ref="A32:F32"/>
    <mergeCell ref="A33:J33"/>
    <mergeCell ref="A36:F36"/>
    <mergeCell ref="A37:J37"/>
    <mergeCell ref="A19:J19"/>
    <mergeCell ref="A24:F24"/>
    <mergeCell ref="A25:J25"/>
    <mergeCell ref="A27:F27"/>
    <mergeCell ref="A28:J28"/>
    <mergeCell ref="A10:F10"/>
    <mergeCell ref="A11:J11"/>
    <mergeCell ref="A15:F15"/>
    <mergeCell ref="A16:J16"/>
    <mergeCell ref="A18:F18"/>
    <mergeCell ref="A1:J1"/>
    <mergeCell ref="A2:J2"/>
    <mergeCell ref="A4:J4"/>
    <mergeCell ref="A7:F7"/>
    <mergeCell ref="A8:J8"/>
  </mergeCells>
  <pageMargins left="0.75" right="0.75" top="1" bottom="1" header="0.511811023622047" footer="0.51180555555555596"/>
  <pageSetup paperSize="9" orientation="portrait" horizontalDpi="300" verticalDpi="300"/>
  <headerFooter>
    <oddFooter>&amp;L&amp;10 _x005F_x000d_# DISTRIBUTION: DoW COMMUNITY ONLY_x005F_x000d_# DISTRIBUTION: DoW COMMUNITY ONLY_x000D_&amp;1#&amp;"Calibri"&amp;10&amp;K000000 DISTRIBUTION: DoW COMMUNITY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53"/>
  <sheetViews>
    <sheetView zoomScaleNormal="100" workbookViewId="0">
      <pane ySplit="1" topLeftCell="A2" activePane="bottomLeft" state="frozen"/>
      <selection pane="bottomLeft" activeCell="B13" sqref="B13"/>
    </sheetView>
  </sheetViews>
  <sheetFormatPr defaultColWidth="8.7109375" defaultRowHeight="15" x14ac:dyDescent="0.25"/>
  <cols>
    <col min="1" max="1" width="49" style="31" customWidth="1"/>
    <col min="2" max="2" width="21.140625" style="31" customWidth="1"/>
    <col min="3" max="3" width="107.7109375" style="31" customWidth="1"/>
  </cols>
  <sheetData>
    <row r="1" spans="1:3" ht="19.5" customHeight="1" x14ac:dyDescent="0.25">
      <c r="A1" s="62" t="s">
        <v>173</v>
      </c>
      <c r="B1" s="62"/>
      <c r="C1" s="62"/>
    </row>
    <row r="2" spans="1:3" x14ac:dyDescent="0.25">
      <c r="A2" s="32"/>
      <c r="B2" s="32"/>
      <c r="C2" s="32"/>
    </row>
    <row r="3" spans="1:3" ht="13.5" customHeight="1" x14ac:dyDescent="0.25">
      <c r="A3" s="63" t="s">
        <v>174</v>
      </c>
      <c r="B3" s="63"/>
      <c r="C3" s="63"/>
    </row>
    <row r="4" spans="1:3" ht="13.5" customHeight="1" x14ac:dyDescent="0.25">
      <c r="A4" s="4" t="s">
        <v>175</v>
      </c>
      <c r="B4" s="4" t="s">
        <v>176</v>
      </c>
      <c r="C4" s="4" t="s">
        <v>177</v>
      </c>
    </row>
    <row r="5" spans="1:3" ht="13.5" customHeight="1" x14ac:dyDescent="0.25">
      <c r="A5" s="33" t="s">
        <v>178</v>
      </c>
      <c r="B5" s="34" t="s">
        <v>179</v>
      </c>
      <c r="C5" s="35" t="s">
        <v>180</v>
      </c>
    </row>
    <row r="6" spans="1:3" ht="13.5" customHeight="1" x14ac:dyDescent="0.25">
      <c r="A6" s="33" t="s">
        <v>181</v>
      </c>
      <c r="B6" s="34" t="s">
        <v>182</v>
      </c>
      <c r="C6" s="35" t="s">
        <v>183</v>
      </c>
    </row>
    <row r="7" spans="1:3" ht="13.5" customHeight="1" x14ac:dyDescent="0.25">
      <c r="A7" s="33" t="s">
        <v>184</v>
      </c>
      <c r="B7" s="34" t="s">
        <v>185</v>
      </c>
      <c r="C7" s="35" t="s">
        <v>186</v>
      </c>
    </row>
    <row r="8" spans="1:3" ht="13.5" customHeight="1" x14ac:dyDescent="0.25">
      <c r="A8" s="33" t="s">
        <v>187</v>
      </c>
      <c r="B8" s="34" t="s">
        <v>188</v>
      </c>
      <c r="C8" s="35" t="s">
        <v>189</v>
      </c>
    </row>
    <row r="9" spans="1:3" ht="13.5" customHeight="1" x14ac:dyDescent="0.25">
      <c r="A9" s="33" t="s">
        <v>190</v>
      </c>
      <c r="B9" s="36">
        <v>634</v>
      </c>
      <c r="C9" s="35" t="s">
        <v>191</v>
      </c>
    </row>
    <row r="10" spans="1:3" ht="13.5" customHeight="1" x14ac:dyDescent="0.25">
      <c r="A10" s="33" t="s">
        <v>192</v>
      </c>
      <c r="B10" s="34" t="s">
        <v>193</v>
      </c>
      <c r="C10" s="35" t="s">
        <v>194</v>
      </c>
    </row>
    <row r="11" spans="1:3" ht="13.5" customHeight="1" x14ac:dyDescent="0.25">
      <c r="A11" s="33" t="s">
        <v>195</v>
      </c>
      <c r="B11" s="37">
        <v>28699</v>
      </c>
      <c r="C11" s="35" t="s">
        <v>196</v>
      </c>
    </row>
    <row r="12" spans="1:3" ht="25.5" customHeight="1" x14ac:dyDescent="0.25">
      <c r="A12" s="33" t="s">
        <v>197</v>
      </c>
      <c r="B12" s="34" t="s">
        <v>198</v>
      </c>
      <c r="C12" s="35" t="s">
        <v>199</v>
      </c>
    </row>
    <row r="13" spans="1:3" ht="13.5" customHeight="1" x14ac:dyDescent="0.25">
      <c r="A13" s="33" t="s">
        <v>200</v>
      </c>
      <c r="B13" s="34" t="s">
        <v>311</v>
      </c>
      <c r="C13" s="35" t="s">
        <v>201</v>
      </c>
    </row>
    <row r="14" spans="1:3" ht="13.5" customHeight="1" x14ac:dyDescent="0.25">
      <c r="A14" s="33" t="s">
        <v>202</v>
      </c>
      <c r="B14" s="34" t="s">
        <v>203</v>
      </c>
      <c r="C14" s="35" t="s">
        <v>310</v>
      </c>
    </row>
    <row r="15" spans="1:3" ht="13.5" customHeight="1" x14ac:dyDescent="0.25">
      <c r="A15" s="33" t="s">
        <v>204</v>
      </c>
      <c r="B15" s="34" t="s">
        <v>205</v>
      </c>
      <c r="C15" s="35"/>
    </row>
    <row r="16" spans="1:3" x14ac:dyDescent="0.25">
      <c r="A16" s="32"/>
      <c r="B16" s="32"/>
      <c r="C16" s="38"/>
    </row>
    <row r="17" spans="1:3" ht="13.5" customHeight="1" x14ac:dyDescent="0.25">
      <c r="A17" s="63" t="s">
        <v>206</v>
      </c>
      <c r="B17" s="63"/>
      <c r="C17" s="63"/>
    </row>
    <row r="18" spans="1:3" ht="13.5" customHeight="1" x14ac:dyDescent="0.25">
      <c r="A18" s="33" t="s">
        <v>207</v>
      </c>
      <c r="B18" s="34">
        <v>1.85</v>
      </c>
      <c r="C18" s="35" t="s">
        <v>208</v>
      </c>
    </row>
    <row r="19" spans="1:3" ht="13.5" customHeight="1" x14ac:dyDescent="0.25">
      <c r="A19" s="33" t="s">
        <v>209</v>
      </c>
      <c r="B19" s="39">
        <v>2.1000000000000001E-2</v>
      </c>
      <c r="C19" s="35" t="s">
        <v>210</v>
      </c>
    </row>
    <row r="20" spans="1:3" ht="13.5" customHeight="1" x14ac:dyDescent="0.25">
      <c r="A20" s="33" t="s">
        <v>211</v>
      </c>
      <c r="B20" s="34">
        <v>3</v>
      </c>
      <c r="C20" s="35" t="s">
        <v>212</v>
      </c>
    </row>
    <row r="21" spans="1:3" ht="13.5" customHeight="1" x14ac:dyDescent="0.25">
      <c r="A21" s="33" t="s">
        <v>213</v>
      </c>
      <c r="B21" s="40">
        <f>(1+B19)^B20</f>
        <v>1.0643322609999997</v>
      </c>
      <c r="C21" s="35" t="s">
        <v>214</v>
      </c>
    </row>
    <row r="22" spans="1:3" ht="13.5" customHeight="1" x14ac:dyDescent="0.25">
      <c r="A22" s="33" t="s">
        <v>215</v>
      </c>
      <c r="B22" s="39">
        <v>0.1</v>
      </c>
      <c r="C22" s="35" t="s">
        <v>216</v>
      </c>
    </row>
    <row r="23" spans="1:3" ht="13.5" customHeight="1" x14ac:dyDescent="0.25">
      <c r="A23" s="33" t="s">
        <v>217</v>
      </c>
      <c r="B23" s="39">
        <v>0.1</v>
      </c>
      <c r="C23" s="35" t="s">
        <v>218</v>
      </c>
    </row>
    <row r="24" spans="1:3" ht="13.5" customHeight="1" x14ac:dyDescent="0.25">
      <c r="A24" s="33" t="s">
        <v>219</v>
      </c>
      <c r="B24" s="39">
        <v>2.5000000000000001E-2</v>
      </c>
      <c r="C24" s="35" t="s">
        <v>220</v>
      </c>
    </row>
    <row r="25" spans="1:3" ht="13.5" customHeight="1" x14ac:dyDescent="0.25">
      <c r="A25" s="33" t="s">
        <v>221</v>
      </c>
      <c r="B25" s="39">
        <v>0.06</v>
      </c>
      <c r="C25" s="35" t="s">
        <v>222</v>
      </c>
    </row>
    <row r="26" spans="1:3" ht="13.5" customHeight="1" x14ac:dyDescent="0.25">
      <c r="A26" s="33" t="s">
        <v>223</v>
      </c>
      <c r="B26" s="39">
        <v>0.08</v>
      </c>
      <c r="C26" s="35" t="s">
        <v>224</v>
      </c>
    </row>
    <row r="27" spans="1:3" ht="13.5" customHeight="1" x14ac:dyDescent="0.25">
      <c r="A27" s="33" t="s">
        <v>225</v>
      </c>
      <c r="B27" s="39">
        <v>0.04</v>
      </c>
      <c r="C27" s="35" t="s">
        <v>226</v>
      </c>
    </row>
    <row r="28" spans="1:3" ht="13.5" customHeight="1" x14ac:dyDescent="0.25">
      <c r="A28" s="33" t="s">
        <v>227</v>
      </c>
      <c r="B28" s="39">
        <v>0.04</v>
      </c>
      <c r="C28" s="35" t="s">
        <v>228</v>
      </c>
    </row>
    <row r="29" spans="1:3" ht="13.5" customHeight="1" x14ac:dyDescent="0.25">
      <c r="A29" s="33" t="s">
        <v>229</v>
      </c>
      <c r="B29" s="37">
        <v>28699</v>
      </c>
      <c r="C29" s="35" t="s">
        <v>230</v>
      </c>
    </row>
    <row r="30" spans="1:3" x14ac:dyDescent="0.25">
      <c r="A30" s="32"/>
      <c r="B30" s="32"/>
      <c r="C30" s="32"/>
    </row>
    <row r="31" spans="1:3" ht="13.5" customHeight="1" x14ac:dyDescent="0.25">
      <c r="A31" s="63" t="s">
        <v>231</v>
      </c>
      <c r="B31" s="63"/>
      <c r="C31" s="63"/>
    </row>
    <row r="32" spans="1:3" ht="13.5" customHeight="1" x14ac:dyDescent="0.25">
      <c r="A32" s="4" t="s">
        <v>232</v>
      </c>
      <c r="B32" s="4" t="s">
        <v>36</v>
      </c>
      <c r="C32" s="4" t="s">
        <v>233</v>
      </c>
    </row>
    <row r="33" spans="1:3" ht="13.5" customHeight="1" x14ac:dyDescent="0.25">
      <c r="A33" s="33" t="s">
        <v>234</v>
      </c>
      <c r="B33" s="41">
        <v>1.56</v>
      </c>
      <c r="C33" s="42" t="s">
        <v>235</v>
      </c>
    </row>
    <row r="34" spans="1:3" x14ac:dyDescent="0.25">
      <c r="A34" s="32"/>
      <c r="B34" s="32"/>
      <c r="C34" s="32"/>
    </row>
    <row r="35" spans="1:3" ht="13.5" customHeight="1" x14ac:dyDescent="0.25">
      <c r="A35" s="63" t="s">
        <v>236</v>
      </c>
      <c r="B35" s="63"/>
      <c r="C35" s="63"/>
    </row>
    <row r="36" spans="1:3" ht="13.5" customHeight="1" x14ac:dyDescent="0.25">
      <c r="A36" s="4" t="s">
        <v>232</v>
      </c>
      <c r="B36" s="4" t="s">
        <v>237</v>
      </c>
      <c r="C36" s="4" t="s">
        <v>238</v>
      </c>
    </row>
    <row r="37" spans="1:3" ht="13.5" customHeight="1" x14ac:dyDescent="0.25">
      <c r="A37" s="33" t="s">
        <v>192</v>
      </c>
      <c r="B37" s="34" t="s">
        <v>193</v>
      </c>
      <c r="C37" s="35" t="s">
        <v>239</v>
      </c>
    </row>
    <row r="38" spans="1:3" ht="13.5" customHeight="1" x14ac:dyDescent="0.25">
      <c r="A38" s="33" t="s">
        <v>240</v>
      </c>
      <c r="B38" s="43">
        <v>29826797</v>
      </c>
      <c r="C38" s="35" t="s">
        <v>241</v>
      </c>
    </row>
    <row r="39" spans="1:3" ht="13.5" customHeight="1" x14ac:dyDescent="0.25">
      <c r="A39" s="33" t="s">
        <v>242</v>
      </c>
      <c r="B39" s="44">
        <f>B38/B29/B18</f>
        <v>561.78239565744354</v>
      </c>
      <c r="C39" s="35" t="s">
        <v>243</v>
      </c>
    </row>
    <row r="40" spans="1:3" ht="15.75" customHeight="1" x14ac:dyDescent="0.25">
      <c r="A40" s="13" t="s">
        <v>244</v>
      </c>
      <c r="B40" s="14">
        <f>B38*B24</f>
        <v>745669.92500000005</v>
      </c>
      <c r="C40" s="35" t="s">
        <v>245</v>
      </c>
    </row>
    <row r="41" spans="1:3" x14ac:dyDescent="0.25">
      <c r="A41" s="32"/>
      <c r="B41" s="32"/>
      <c r="C41" s="32"/>
    </row>
    <row r="42" spans="1:3" ht="13.5" customHeight="1" x14ac:dyDescent="0.25">
      <c r="A42" s="63" t="s">
        <v>246</v>
      </c>
      <c r="B42" s="63"/>
      <c r="C42" s="63"/>
    </row>
    <row r="43" spans="1:3" ht="15.75" customHeight="1" x14ac:dyDescent="0.25">
      <c r="A43" s="45" t="s">
        <v>247</v>
      </c>
      <c r="B43" s="46">
        <v>18195166</v>
      </c>
      <c r="C43" s="35" t="s">
        <v>248</v>
      </c>
    </row>
    <row r="44" spans="1:3" ht="15.75" customHeight="1" x14ac:dyDescent="0.25">
      <c r="A44" s="45" t="s">
        <v>249</v>
      </c>
      <c r="B44" s="46">
        <v>33661057</v>
      </c>
      <c r="C44" s="35" t="s">
        <v>250</v>
      </c>
    </row>
    <row r="45" spans="1:3" ht="15.75" customHeight="1" x14ac:dyDescent="0.25">
      <c r="A45" s="45" t="s">
        <v>251</v>
      </c>
      <c r="B45" s="46">
        <v>1</v>
      </c>
      <c r="C45" s="35" t="s">
        <v>252</v>
      </c>
    </row>
    <row r="46" spans="1:3" ht="15.75" customHeight="1" x14ac:dyDescent="0.25">
      <c r="A46" s="45" t="s">
        <v>253</v>
      </c>
      <c r="B46" s="46">
        <v>1.0900000000000001</v>
      </c>
      <c r="C46" s="35" t="s">
        <v>254</v>
      </c>
    </row>
    <row r="47" spans="1:3" ht="15.75" customHeight="1" x14ac:dyDescent="0.25">
      <c r="A47" s="45" t="s">
        <v>255</v>
      </c>
      <c r="B47" s="46">
        <v>1.08</v>
      </c>
      <c r="C47" s="35" t="s">
        <v>256</v>
      </c>
    </row>
    <row r="48" spans="1:3" ht="15.75" customHeight="1" x14ac:dyDescent="0.25">
      <c r="A48" s="45" t="s">
        <v>257</v>
      </c>
      <c r="B48" s="46">
        <v>1.05</v>
      </c>
      <c r="C48" s="35" t="s">
        <v>258</v>
      </c>
    </row>
    <row r="49" spans="1:3" ht="15.75" customHeight="1" x14ac:dyDescent="0.25">
      <c r="A49" s="45" t="s">
        <v>259</v>
      </c>
      <c r="B49" s="46">
        <v>1.2360599999999999</v>
      </c>
      <c r="C49" s="35" t="s">
        <v>260</v>
      </c>
    </row>
    <row r="50" spans="1:3" ht="15.75" customHeight="1" x14ac:dyDescent="0.25">
      <c r="A50" s="45" t="s">
        <v>261</v>
      </c>
      <c r="B50" s="46">
        <v>41607086</v>
      </c>
      <c r="C50" s="35" t="s">
        <v>262</v>
      </c>
    </row>
    <row r="51" spans="1:3" ht="15.75" customHeight="1" x14ac:dyDescent="0.25">
      <c r="A51" s="45" t="s">
        <v>263</v>
      </c>
      <c r="B51" s="46">
        <v>11780289</v>
      </c>
      <c r="C51" s="35" t="s">
        <v>264</v>
      </c>
    </row>
    <row r="52" spans="1:3" ht="15.75" customHeight="1" x14ac:dyDescent="0.25">
      <c r="A52" s="45" t="s">
        <v>265</v>
      </c>
      <c r="B52" s="46">
        <v>1040177</v>
      </c>
      <c r="C52" s="35" t="s">
        <v>266</v>
      </c>
    </row>
    <row r="53" spans="1:3" ht="15.75" customHeight="1" x14ac:dyDescent="0.25">
      <c r="A53" s="45" t="s">
        <v>267</v>
      </c>
      <c r="B53" s="46">
        <v>294507</v>
      </c>
      <c r="C53" s="35" t="s">
        <v>268</v>
      </c>
    </row>
  </sheetData>
  <mergeCells count="6">
    <mergeCell ref="A42:C42"/>
    <mergeCell ref="A1:C1"/>
    <mergeCell ref="A3:C3"/>
    <mergeCell ref="A17:C17"/>
    <mergeCell ref="A31:C31"/>
    <mergeCell ref="A35:C35"/>
  </mergeCells>
  <pageMargins left="0.75" right="0.75" top="1" bottom="1" header="0.511811023622047" footer="0.51180555555555596"/>
  <pageSetup paperSize="9" orientation="portrait" horizontalDpi="300" verticalDpi="300"/>
  <headerFooter>
    <oddFooter>&amp;L&amp;10 _x005F_x000d_# DISTRIBUTION: DoW COMMUNITY ONLY_x005F_x000d_# DISTRIBUTION: DoW COMMUNITY ONLY_x000D_&amp;1#&amp;"Calibri"&amp;10&amp;K000000 DISTRIBUTION: DoW COMMUNITY ONLY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23"/>
  <sheetViews>
    <sheetView zoomScaleNormal="100" workbookViewId="0">
      <pane ySplit="1" topLeftCell="A2" activePane="bottomLeft" state="frozen"/>
      <selection pane="bottomLeft" activeCell="A3" sqref="A3"/>
    </sheetView>
  </sheetViews>
  <sheetFormatPr defaultColWidth="8.7109375" defaultRowHeight="15" x14ac:dyDescent="0.25"/>
  <cols>
    <col min="1" max="1" width="53.140625" style="31" customWidth="1"/>
    <col min="2" max="2" width="11.85546875" style="31" customWidth="1"/>
    <col min="3" max="3" width="65.28515625" style="31" customWidth="1"/>
  </cols>
  <sheetData>
    <row r="1" spans="1:3" ht="19.5" customHeight="1" x14ac:dyDescent="0.25">
      <c r="A1" s="62" t="s">
        <v>173</v>
      </c>
      <c r="B1" s="62"/>
      <c r="C1" s="62"/>
    </row>
    <row r="2" spans="1:3" ht="13.5" customHeight="1" x14ac:dyDescent="0.25">
      <c r="A2" s="47" t="s">
        <v>269</v>
      </c>
      <c r="B2" s="47" t="s">
        <v>270</v>
      </c>
      <c r="C2" s="47" t="s">
        <v>271</v>
      </c>
    </row>
    <row r="3" spans="1:3" ht="25.5" customHeight="1" x14ac:dyDescent="0.25">
      <c r="A3" s="48" t="s">
        <v>272</v>
      </c>
      <c r="B3" s="49">
        <f>SCOPE_DETAIL!G7*PARAMETERS!$B$18*PARAMETERS!$B$21*(1+PARAMETERS!$B$22)/1000</f>
        <v>97.141339378404737</v>
      </c>
      <c r="C3" s="50" t="s">
        <v>43</v>
      </c>
    </row>
    <row r="4" spans="1:3" ht="25.5" customHeight="1" x14ac:dyDescent="0.25">
      <c r="A4" s="48" t="s">
        <v>273</v>
      </c>
      <c r="B4" s="49">
        <f>SCOPE_DETAIL!G10*PARAMETERS!$B$18*PARAMETERS!$B$21*(1+PARAMETERS!$B$22)/1000</f>
        <v>25.990993813619998</v>
      </c>
      <c r="C4" s="50" t="s">
        <v>43</v>
      </c>
    </row>
    <row r="5" spans="1:3" ht="25.5" customHeight="1" x14ac:dyDescent="0.25">
      <c r="A5" s="48" t="s">
        <v>274</v>
      </c>
      <c r="B5" s="49">
        <f>SCOPE_DETAIL!G15*PARAMETERS!$B$18*PARAMETERS!$B$21*(1+PARAMETERS!$B$22)/1000</f>
        <v>63.677934843368988</v>
      </c>
      <c r="C5" s="50" t="s">
        <v>43</v>
      </c>
    </row>
    <row r="6" spans="1:3" ht="25.5" customHeight="1" x14ac:dyDescent="0.25">
      <c r="A6" s="48" t="s">
        <v>275</v>
      </c>
      <c r="B6" s="49">
        <f>SCOPE_DETAIL!G18*PARAMETERS!$B$18*PARAMETERS!$B$21*(1+PARAMETERS!$B$22)/1000</f>
        <v>38.986490720429991</v>
      </c>
      <c r="C6" s="50" t="s">
        <v>43</v>
      </c>
    </row>
    <row r="7" spans="1:3" ht="38.25" customHeight="1" x14ac:dyDescent="0.25">
      <c r="A7" s="48" t="s">
        <v>276</v>
      </c>
      <c r="B7" s="49">
        <f>SCOPE_DETAIL!G24*PARAMETERS!$B$18*PARAMETERS!$B$21*(1+PARAMETERS!$B$22)/1000</f>
        <v>63.677934843368988</v>
      </c>
      <c r="C7" s="50" t="s">
        <v>43</v>
      </c>
    </row>
    <row r="8" spans="1:3" ht="25.5" customHeight="1" x14ac:dyDescent="0.25">
      <c r="A8" s="48" t="s">
        <v>277</v>
      </c>
      <c r="B8" s="49">
        <f>SCOPE_DETAIL!G27*PARAMETERS!$B$18*PARAMETERS!$B$21*(1+PARAMETERS!$B$22)/1000</f>
        <v>3.2488742267024997</v>
      </c>
      <c r="C8" s="50" t="s">
        <v>47</v>
      </c>
    </row>
    <row r="9" spans="1:3" ht="25.5" customHeight="1" x14ac:dyDescent="0.25">
      <c r="A9" s="48" t="s">
        <v>278</v>
      </c>
      <c r="B9" s="49">
        <f>SCOPE_DETAIL!G32*PARAMETERS!$B$18*PARAMETERS!$B$21*(1+PARAMETERS!$B$22)/1000</f>
        <v>5.847973608064498</v>
      </c>
      <c r="C9" s="50" t="s">
        <v>49</v>
      </c>
    </row>
    <row r="10" spans="1:3" ht="25.5" customHeight="1" x14ac:dyDescent="0.25">
      <c r="A10" s="48" t="s">
        <v>279</v>
      </c>
      <c r="B10" s="49">
        <f>SCOPE_DETAIL!G36*PARAMETERS!$B$18*PARAMETERS!$B$21*(1+PARAMETERS!$B$22)/1000</f>
        <v>57.612070070500316</v>
      </c>
      <c r="C10" s="50" t="s">
        <v>45</v>
      </c>
    </row>
    <row r="11" spans="1:3" ht="25.5" customHeight="1" x14ac:dyDescent="0.25">
      <c r="A11" s="48" t="s">
        <v>280</v>
      </c>
      <c r="B11" s="49">
        <f>SCOPE_DETAIL!G40*PARAMETERS!$B$18*PARAMETERS!$B$21*(1+PARAMETERS!$B$22)/1000</f>
        <v>25.990993813619998</v>
      </c>
      <c r="C11" s="50" t="s">
        <v>47</v>
      </c>
    </row>
    <row r="12" spans="1:3" ht="38.25" x14ac:dyDescent="0.25">
      <c r="A12" s="48" t="s">
        <v>281</v>
      </c>
      <c r="B12" s="49">
        <f>(SCOPE_DETAIL!G43+SCOPE_DETAIL!G44+SCOPE_DETAIL!G45)*PARAMETERS!$B$18*PARAMETERS!$B$21*(1+PARAMETERS!$B$22)/1000</f>
        <v>368.85552053829042</v>
      </c>
      <c r="C12" s="50" t="s">
        <v>43</v>
      </c>
    </row>
    <row r="13" spans="1:3" ht="25.5" customHeight="1" x14ac:dyDescent="0.25">
      <c r="A13" s="48" t="s">
        <v>282</v>
      </c>
      <c r="B13" s="49">
        <f>(SCOPE_DETAIL!G46+SCOPE_DETAIL!G47)*PARAMETERS!$B$18*PARAMETERS!$B$21*(1+PARAMETERS!$B$22)/1000</f>
        <v>15.161413057944996</v>
      </c>
      <c r="C13" s="50" t="s">
        <v>51</v>
      </c>
    </row>
    <row r="14" spans="1:3" ht="13.5" customHeight="1" x14ac:dyDescent="0.25"/>
    <row r="15" spans="1:3" ht="13.5" customHeight="1" x14ac:dyDescent="0.25">
      <c r="A15" s="51" t="s">
        <v>283</v>
      </c>
      <c r="B15" s="52">
        <f>SUM(B3:B13)</f>
        <v>766.1915389143154</v>
      </c>
      <c r="C15" s="53" t="s">
        <v>284</v>
      </c>
    </row>
    <row r="16" spans="1:3" ht="13.5" customHeight="1" x14ac:dyDescent="0.25">
      <c r="A16" s="48" t="s">
        <v>285</v>
      </c>
      <c r="B16" s="49">
        <f>B15*PARAMETERS!B23</f>
        <v>76.619153891431537</v>
      </c>
      <c r="C16" s="50" t="s">
        <v>286</v>
      </c>
    </row>
    <row r="17" spans="1:3" ht="25.5" customHeight="1" x14ac:dyDescent="0.25">
      <c r="A17" s="48" t="s">
        <v>287</v>
      </c>
      <c r="B17" s="49">
        <f>PARAMETERS!B40/1000</f>
        <v>745.66992500000003</v>
      </c>
      <c r="C17" s="50" t="s">
        <v>288</v>
      </c>
    </row>
    <row r="18" spans="1:3" ht="13.5" customHeight="1" x14ac:dyDescent="0.25">
      <c r="A18" s="48" t="s">
        <v>289</v>
      </c>
      <c r="B18" s="49">
        <f>ESTIMATE!B15/1000</f>
        <v>95.308855500000007</v>
      </c>
      <c r="C18" s="50" t="s">
        <v>290</v>
      </c>
    </row>
    <row r="19" spans="1:3" ht="13.5" customHeight="1" x14ac:dyDescent="0.25">
      <c r="A19" s="48" t="s">
        <v>291</v>
      </c>
      <c r="B19" s="49">
        <f>ESTIMATE!B16/1000</f>
        <v>127.078474</v>
      </c>
      <c r="C19" s="50" t="s">
        <v>292</v>
      </c>
    </row>
    <row r="20" spans="1:3" ht="13.5" customHeight="1" x14ac:dyDescent="0.25">
      <c r="A20" s="48" t="s">
        <v>293</v>
      </c>
      <c r="B20" s="49">
        <f>ESTIMATE!B17/1000</f>
        <v>63.539237</v>
      </c>
      <c r="C20" s="50" t="s">
        <v>294</v>
      </c>
    </row>
    <row r="21" spans="1:3" ht="15.75" customHeight="1" x14ac:dyDescent="0.25">
      <c r="A21" s="54" t="s">
        <v>28</v>
      </c>
      <c r="B21" s="55">
        <f>ESTIMATE!B18/1000</f>
        <v>1874.4069999999999</v>
      </c>
      <c r="C21" s="56" t="s">
        <v>295</v>
      </c>
    </row>
    <row r="22" spans="1:3" ht="13.5" customHeight="1" x14ac:dyDescent="0.25">
      <c r="A22" s="48" t="s">
        <v>296</v>
      </c>
      <c r="B22" s="49">
        <f>ESTIMATE!B19/1000</f>
        <v>74.976280000000003</v>
      </c>
      <c r="C22" s="57" t="s">
        <v>297</v>
      </c>
    </row>
    <row r="23" spans="1:3" ht="18" customHeight="1" x14ac:dyDescent="0.25">
      <c r="A23" s="58" t="s">
        <v>32</v>
      </c>
      <c r="B23" s="59">
        <f>ESTIMATE!B20/1000</f>
        <v>1949.38328</v>
      </c>
      <c r="C23" s="60" t="s">
        <v>298</v>
      </c>
    </row>
  </sheetData>
  <mergeCells count="1">
    <mergeCell ref="A1:C1"/>
  </mergeCells>
  <pageMargins left="0.75" right="0.75" top="1" bottom="1" header="0.511811023622047" footer="0.51180555555555596"/>
  <pageSetup paperSize="9" orientation="portrait" horizontalDpi="300" verticalDpi="300"/>
  <headerFooter>
    <oddFooter>&amp;L&amp;10 _x005F_x000d_# DISTRIBUTION: DoW COMMUNITY ONLY_x005F_x000d_# DISTRIBUTION: DoW COMMUNITY ONLY_x000D_&amp;1#&amp;"Calibri"&amp;10&amp;K000000 DISTRIBUTION: DoW COMMUNITY ONLY</oddFooter>
  </headerFooter>
</worksheet>
</file>

<file path=docMetadata/LabelInfo.xml><?xml version="1.0" encoding="utf-8"?>
<clbl:labelList xmlns:clbl="http://schemas.microsoft.com/office/2020/mipLabelMetadata">
  <clbl:label id="{89f80511-b267-4892-be9d-6cc8d3fffe7e}" enabled="1" method="Standard" siteId="{f4c44cda-18c6-46b0-80f2-e290072444fd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ESTIMATE</vt:lpstr>
      <vt:lpstr>SCOPE_DETAIL</vt:lpstr>
      <vt:lpstr>PARAMETERS</vt:lpstr>
      <vt:lpstr>DD1391_BLOCK9</vt:lpstr>
    </vt:vector>
  </TitlesOfParts>
  <Manager>Anthony L. Potter</Manager>
  <Company>MCIPAC GF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SCH-3314 - LEVEL 3 ROM CWE</dc:title>
  <dc:subject>SCH-3314 - LEVEL 3 ROM CWE</dc:subject>
  <cp:lastModifiedBy>Potter CTR Anthony L</cp:lastModifiedBy>
  <dcterms:modified xsi:type="dcterms:W3CDTF">2026-03-20T02:21:49Z</dcterms:modified>
  <cp:category>MILCON, FSRM</cp:category>
</cp:coreProperties>
</file>

<file path=docProps/core0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2026-03-16T05:48:51Z</dcterms:created>
  <dc:creator>Anthony L. Potter</dc:creator>
  <dc:description/>
  <dc:language>en-US</dc:language>
  <cp:lastModifiedBy>Anthony L. Potter</cp:lastModifiedBy>
  <dcterms:modified xsi:type="dcterms:W3CDTF">2026-03-16T07:32:28Z</dcterms:modified>
  <cp:revision>0</cp:revision>
  <dc:subject/>
  <dc:title>SCH-3314 ROM Cost Estimate FY27 v3</dc:title>
</cp:coreProperties>
</file>