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usmc-my.sharepoint-mil.us/personal/anthony_l_potter_ctr_usmc_mil/Documents/Desktop/BACK_UP/"/>
    </mc:Choice>
  </mc:AlternateContent>
  <xr:revisionPtr revIDLastSave="0" documentId="8_{4D345E56-B489-437A-85FA-C31DC738B8E0}" xr6:coauthVersionLast="47" xr6:coauthVersionMax="47" xr10:uidLastSave="{00000000-0000-0000-0000-000000000000}"/>
  <bookViews>
    <workbookView xWindow="-110" yWindow="30" windowWidth="19420" windowHeight="11360" tabRatio="500" xr2:uid="{00000000-000D-0000-FFFF-FFFF00000000}"/>
  </bookViews>
  <sheets>
    <sheet name="ESTIMATE" sheetId="1" r:id="rId1"/>
    <sheet name="SCOPE_DETAIL" sheetId="2" r:id="rId2"/>
    <sheet name="PARAMETERS" sheetId="3" r:id="rId3"/>
    <sheet name="DD1391_BLOCK9" sheetId="4" r:id="rId4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40" i="3" l="1"/>
  <c r="B12" i="4" s="1"/>
  <c r="B39" i="3"/>
  <c r="B21" i="3"/>
  <c r="G27" i="2"/>
  <c r="H27" i="2" s="1"/>
  <c r="G26" i="2"/>
  <c r="H26" i="2" s="1"/>
  <c r="H25" i="2"/>
  <c r="G25" i="2"/>
  <c r="G24" i="2"/>
  <c r="H24" i="2" s="1"/>
  <c r="G23" i="2"/>
  <c r="H23" i="2" s="1"/>
  <c r="G21" i="2"/>
  <c r="B8" i="4" s="1"/>
  <c r="G20" i="2"/>
  <c r="H20" i="2" s="1"/>
  <c r="G17" i="2"/>
  <c r="H17" i="2" s="1"/>
  <c r="H16" i="2"/>
  <c r="G16" i="2"/>
  <c r="G15" i="2"/>
  <c r="H15" i="2" s="1"/>
  <c r="G12" i="2"/>
  <c r="G13" i="2" s="1"/>
  <c r="B6" i="4" s="1"/>
  <c r="G9" i="2"/>
  <c r="H9" i="2" s="1"/>
  <c r="G8" i="2"/>
  <c r="H8" i="2" s="1"/>
  <c r="G7" i="2"/>
  <c r="G10" i="2" s="1"/>
  <c r="B5" i="4" s="1"/>
  <c r="H4" i="2"/>
  <c r="G4" i="2"/>
  <c r="G3" i="2"/>
  <c r="G5" i="2" s="1"/>
  <c r="C31" i="1"/>
  <c r="C30" i="1"/>
  <c r="C29" i="1"/>
  <c r="C28" i="1"/>
  <c r="C32" i="1" s="1"/>
  <c r="B4" i="4" l="1"/>
  <c r="G29" i="2"/>
  <c r="B5" i="1" s="1"/>
  <c r="B6" i="1" s="1"/>
  <c r="B7" i="1" s="1"/>
  <c r="B8" i="1" s="1"/>
  <c r="B9" i="1" s="1"/>
  <c r="B11" i="1" s="1"/>
  <c r="G18" i="2"/>
  <c r="B7" i="4" s="1"/>
  <c r="H7" i="2"/>
  <c r="B10" i="1"/>
  <c r="G28" i="2"/>
  <c r="B9" i="4" s="1"/>
  <c r="H3" i="2"/>
  <c r="H12" i="2"/>
  <c r="B17" i="1" l="1"/>
  <c r="B15" i="4" s="1"/>
  <c r="B16" i="1"/>
  <c r="B14" i="4" s="1"/>
  <c r="B15" i="1"/>
  <c r="B13" i="4" s="1"/>
  <c r="B10" i="4"/>
  <c r="B11" i="4" s="1"/>
  <c r="B18" i="1" l="1"/>
  <c r="B24" i="1" l="1"/>
  <c r="B16" i="4"/>
  <c r="B19" i="1"/>
  <c r="B19" i="4" s="1"/>
  <c r="B37" i="1"/>
  <c r="B39" i="1" l="1"/>
  <c r="B38" i="1"/>
  <c r="B18" i="4"/>
  <c r="B17" i="4"/>
  <c r="B20" i="1"/>
  <c r="B20" i="4" s="1"/>
</calcChain>
</file>

<file path=xl/sharedStrings.xml><?xml version="1.0" encoding="utf-8"?>
<sst xmlns="http://schemas.openxmlformats.org/spreadsheetml/2006/main" count="351" uniqueCount="287">
  <si>
    <t>SCH-3237  |  ROM COST ESTIMATE  |  LEVEL 3  |  FY27  |  PAX ID 387622  |  Fi Web BU26PPE73M</t>
  </si>
  <si>
    <t>A.  ROM FORMULA CHAIN - UFS 3-740-05 (2 Feb 2026) Level 3 ROM</t>
  </si>
  <si>
    <t>Element</t>
  </si>
  <si>
    <t>Amount ($)</t>
  </si>
  <si>
    <t>Formula / Source</t>
  </si>
  <si>
    <t>1.  Base Direct Cost (FY24 CONUS Pre-ACF)</t>
  </si>
  <si>
    <t>Sum of all scope items - SCOPE_DETAIL tab</t>
  </si>
  <si>
    <t>2.  x Area Cost Factor (ACF 1.85) = ACF-Adjusted Cost</t>
  </si>
  <si>
    <t>B5 x ACF 1.85 per UFC 3-701-01 w/Change 7 (25 Jul 2025), Table 4-1, site M67400-0004</t>
  </si>
  <si>
    <t>3.  x Compound Escalation Factor = Escalated Cost (FY27)</t>
  </si>
  <si>
    <t>B6 x (1+0.021)^3 = 1.0643 | FY24 to FY27 | OSD FY25 published rate</t>
  </si>
  <si>
    <t>4.  x (1 + General Requirements 10%) = GR-Applied Cost</t>
  </si>
  <si>
    <t>B7 x 1.10 | General Requirements 10% per FSRM program direction</t>
  </si>
  <si>
    <t>5.  x (1 + Contingency 10%) = CONSTRUCTION SUBTOTAL</t>
  </si>
  <si>
    <t>ROUND(B8 x 1.10) | Contingency 10% FSRM program-directed | Level 3 ROM</t>
  </si>
  <si>
    <t>6.  + LSH Allowance (2.5% of PRV)</t>
  </si>
  <si>
    <t>PRV $26,636,215 x 2.5% = $665,905 | iNFADS RPUID 51473 | NAVFAC 11010.44E CH-1</t>
  </si>
  <si>
    <t>CONSTRUCTION BASE  (Construction Subtotal + LSH)</t>
  </si>
  <si>
    <t>Construction Subtotal + LSH</t>
  </si>
  <si>
    <t>B.  PROGRAM ADDERS</t>
  </si>
  <si>
    <t>Design (6.0%)</t>
  </si>
  <si>
    <t>Construction Base x 6.0% | NAVFAC agency-directed</t>
  </si>
  <si>
    <t>SIOH (8.0% - OCONUS FSRM Customer-Directed Rate)</t>
  </si>
  <si>
    <t>Construction Base x 8.0% | OCONUS FSRM customer-directed - NOT standard 7.3%</t>
  </si>
  <si>
    <t>Construction Management (4.0%)</t>
  </si>
  <si>
    <t>Construction Base x 4.0% | agency-directed</t>
  </si>
  <si>
    <t>TOTAL FUNDED COST</t>
  </si>
  <si>
    <t>ROUND(Construction Base + Design + SIOH + CM)</t>
  </si>
  <si>
    <t>Design-Build Design (4.0% - Applied AFTER Total Funded)</t>
  </si>
  <si>
    <t>Total Funded x 4.0% | DB design applied after Total Funded per UFC 3-730-01 (2024)</t>
  </si>
  <si>
    <t>TOTAL PROJECT COST</t>
  </si>
  <si>
    <t>Total Funded + DB Design</t>
  </si>
  <si>
    <t>C.  COST PER SQUARE FOOT</t>
  </si>
  <si>
    <t>Item</t>
  </si>
  <si>
    <t>Amount</t>
  </si>
  <si>
    <t>Basis</t>
  </si>
  <si>
    <t>Cost / Whole Building GSF (Systems Repair Benchmark)</t>
  </si>
  <si>
    <t>Total Funded / 30,973 SF | LSH dominates on targeted repair of large building; see Section F Item 9</t>
  </si>
  <si>
    <t>D.  UNIFORMAT II LEVEL 2 SUMMARY - Base Direct Cost (FY24 CONUS Pre-ACF)</t>
  </si>
  <si>
    <t>Code</t>
  </si>
  <si>
    <t>Category</t>
  </si>
  <si>
    <t>Base Direct ($)</t>
  </si>
  <si>
    <t>C10</t>
  </si>
  <si>
    <t>Interior Construction</t>
  </si>
  <si>
    <t>D30</t>
  </si>
  <si>
    <t>HVAC</t>
  </si>
  <si>
    <t>D50</t>
  </si>
  <si>
    <t>Electrical &amp; Communications</t>
  </si>
  <si>
    <t>F10</t>
  </si>
  <si>
    <t>Hazardous Materials - Abatement</t>
  </si>
  <si>
    <t>TOTAL BASE DIRECT (UNIFORMAT CHECK)</t>
  </si>
  <si>
    <t>CHECK FORMULA - MUST EQUAL B5</t>
  </si>
  <si>
    <t>E.  COMPARISON TO PREVIOUS ESTIMATE</t>
  </si>
  <si>
    <t>Version</t>
  </si>
  <si>
    <t>Total Funded ($)</t>
  </si>
  <si>
    <t>Notes</t>
  </si>
  <si>
    <t>v3 FINAL (prior)</t>
  </si>
  <si>
    <t>Prior scope - pre-scope confirmation; CCN for telecom room unresolved; predecessor to this version</t>
  </si>
  <si>
    <t>v4 Current (09 Mar 2026)</t>
  </si>
  <si>
    <t>15-item worklist | TR scope UFC 3-580-01 confirmed | MCIPAC G-6 Policy Ltr 03-2024 | iNFADS PRV confirmed | Fi Web BU26PPE73M</t>
  </si>
  <si>
    <t>Delta ($)</t>
  </si>
  <si>
    <t>Delta (%)</t>
  </si>
  <si>
    <t>F.  METHODOLOGY SUMMARY</t>
  </si>
  <si>
    <t>1. Estimate Level</t>
  </si>
  <si>
    <t>Level 3 ROM per UFS 3-740-05 (2 Feb 2026), non-mandatory supplement; For Information Only. No accuracy percentage ranges cited. Site survey by HDR - 3/4/2024. Armory wing (Rooms 115-127, 6,406 SF, FAC 4427, CCN 14345) excluded from construction scope; PRV and LSH still include that area per iNFADS RPUID 51473.</t>
  </si>
  <si>
    <t>2. Scope Basis</t>
  </si>
  <si>
    <t>15 discrete work items across 4 disciplines: Storage Reconfiguration (2 items), Telecommunications Room Construction (7 items), Communications Infrastructure (1 item), HAZMAT Abatement (5 items). Authority: AE Worksheet 3/4/2024; RPUID 51473; UFC 3-580-01 (21 Nov 2024) TR sizing and environmental requirements; MCIPAC G-6 Policy Ltr 03-2024. 4 yellow-flag items pending verification.</t>
  </si>
  <si>
    <t>3. ACF</t>
  </si>
  <si>
    <t>1.85 - Camp Schwab, Okinawa, Japan per UFC 3-701-01 w/Change 7 (25 Jul 2025), Table 4-1, OCONUS, site M67400-0004.</t>
  </si>
  <si>
    <t>4. Escalation</t>
  </si>
  <si>
    <t>2.1%/yr; OSD FY25 published construction escalation rate, client-confirmed; FY24 base year to FY27 target = 3 years. Compound factor = (1+0.021)^3 = 1.0643 (live formula in PARAMETERS B21).</t>
  </si>
  <si>
    <t>5. General Requirements</t>
  </si>
  <si>
    <t>10.0% per FSRM program direction.</t>
  </si>
  <si>
    <t>6. Contingency</t>
  </si>
  <si>
    <t>10.0% - FSRM program-directed rate; Level 3 ROM; UFS 3-740-05 (2 Feb 2026). Contributing unresolved yellow-flag items: cage work qty/layout unconfirmed; comm infrastructure scope pending additional site survey; ACM mastic abatement quantity subject to PWD ENV floor replacement confirmation.</t>
  </si>
  <si>
    <t>7. LSH</t>
  </si>
  <si>
    <t>PRV = $26,636,215 (iNFADS EOY confirmed | RPUID 51473 | Camp Schwab). LSH = $26,636,215 x 2.5% = $665,905. Authority: NAVFAC 11010.44E CH-1; MCO 11000.12; UFC 3-701-01 w/Change 7 Table 3. PRV deviation from formula method documented in Item 11.</t>
  </si>
  <si>
    <t>8. Program Adders</t>
  </si>
  <si>
    <t>Design 6% NAVFAC agency-directed. SIOH 8.0% OCONUS FSRM customer-directed (NOT standard 7.3%). CM 4% agency-directed. DB Design 4% applied AFTER Total Funded per UFC 3-730-01 (2024). LSH applied to Construction Subtotal before program adder chain per NAVFAC 11010.44E CH-1.</t>
  </si>
  <si>
    <t>9. Unit Cost Basis</t>
  </si>
  <si>
    <t>FY24 CONUS pre-ACF. Cage work and TR construction priced from assembly-level unit costs. TR HVAC per UFC 3-410-01; TR electrical per UFC 3-520-01; communications infrastructure based on comm engineer preliminary ROM of $100,000 per UFC 3-580-01 and MCIPAC G-6 Policy Ltr 03-2024. HAZMAT per OSHA 1926.1101 abatement package. LSH is a large share of Total Funded because this is targeted scope on a large building - this is expected and normal.</t>
  </si>
  <si>
    <t>10. Items Requiring Verification</t>
  </si>
  <si>
    <t>a. Items 1-2 - cage dimensions and linear footage not confirmed; pending floor plan and unit layout. b. Item 10 - comm infrastructure ROM is preliminary; additional site survey required (unit items blocked TR access). c. Item 12 - PWD ENV has not confirmed whether Room 101 flooring was replaced after the 2001 Bhate survey; if the mastic was already removed, this scope drops. d. JPY/USD rate - using 27 Feb 2026 Fed H.10 value (156.05); JPY column is display-only and does not affect the cost chain.</t>
  </si>
  <si>
    <t>11. Methodology Deviations</t>
  </si>
  <si>
    <t>iNFADS PRV ($26,636,215, RPUID 51473) governs per UFC 3-701-01. Formula PRV for reference: FAC 4427 (6,406 SF x $428.28) + FAC 4421 (16,895 SF x $692) + FAC 6100 (5,263 SF x $982) = $19,605,186 base x 1.85 ACF = $36,265,860. Delta: iNFADS is $9,629,645 lower than formula. Implied unit cost check: $26,636,215 / 30,973 SF / 1.85 = $465.16/SF - below any individual FAC PUC; reason for gap unknown. LSH impact: iNFADS-based LSH = $665,905; formula-based LSH would be $906,647 - a difference of $240,742 in Total Funded.</t>
  </si>
  <si>
    <t>12. Prepared By</t>
  </si>
  <si>
    <t>Anthony L. Potter | Facilities Professional | Booz Allen Hamilton - MCIPAC G-F PPE | 09 Mar 2026</t>
  </si>
  <si>
    <t>13. Estimate Version History</t>
  </si>
  <si>
    <t>v3 FINAL (prior): Total Funded $1,520,939 | Total Project $1,581,776 - pre-scope confirmation, CCN for telecom room unresolved. v4 (09 Mar 2026): scope confirmed - UFC 3-580-01 TR requirements locked, MCIPAC G-6 Policy Ltr 03-2024 applied, iNFADS PRV confirmed, Fi Web BU26PPE73M confirmed.</t>
  </si>
  <si>
    <t>SCH-3237  |  SCOPE DETAIL &amp; QUANTITY TAKEOFF  |  BASE YEAR FY24 CONUS  |  Level 3 ROM  |  CCN 44112</t>
  </si>
  <si>
    <t>1.  STORAGE RECONFIGURATION - Remove/Replace Floor-to-Ceiling Wire Mesh Cage Partitions, Room 101</t>
  </si>
  <si>
    <t>STORAGE</t>
  </si>
  <si>
    <t>Remove existing floor-to-ceiling wire mesh cage partitions, Room 101 (full bay); includes disconnect, demo, and haul-off</t>
  </si>
  <si>
    <t>LS</t>
  </si>
  <si>
    <t>YELLOW - cage LF qty and layout unconfirmed; pending Markon floor plan field verification; UFC 3-580-01</t>
  </si>
  <si>
    <t>Install new floor-to-ceiling wire mesh cage partitions, Room 101; 3 tenant zones: CLB-4 / HQ 4th MAR REGT / UDP (4th Marines); includes framing, hardware, and seismic anchoring</t>
  </si>
  <si>
    <t>YELLOW - zone dimensions and total LF unconfirmed; pending unit layout confirmation and design</t>
  </si>
  <si>
    <t>SUBTOTAL - STORAGE RECONFIGURATION</t>
  </si>
  <si>
    <t>2.  TELECOMMUNICATIONS ROOM - INTERIOR CONSTRUCTION - New TR per UFC 3-580-01 (21 Nov 2024) Para 2-3.1.2.2 &amp; MCIPAC G-6 Policy Ltr 03-2024</t>
  </si>
  <si>
    <t>TR-ARCH</t>
  </si>
  <si>
    <t>Construct new TR interior partition walls; light gauge metal framing, 5/8 in Type X gypsum board, fire-rated; room sized at approx 1.1 pct of 19,304 SF served area per UFC 3-580-01 Para 2-3.1.2.2(c); no suspended ceiling per Para 2-3.1.2.3</t>
  </si>
  <si>
    <t>UFC 3-580-01 Para 2-3.1.2.2 &amp; 2-3.1.2.3; NFPA 101; min room size 10 ft-6 in x 9 ft for bldgs &gt;5,000 SF</t>
  </si>
  <si>
    <t>Install 3/4 in A-C plywood backboards (fire-retardant treated); cover three walls; 8 ft high; grade-A surface exposed; per MCIPAC G-6 Policy Ltr 03-2024 Sec 4(c)(4)</t>
  </si>
  <si>
    <t>MCIPAC G-6 Policy Ltr 03-2024 Sec 4(c)(4); UFC 3-580-01</t>
  </si>
  <si>
    <t>Install fire-rated door (min 36 in x 80 in); outswing; combination type lock; holds open unassisted; no threshold; per UFC 3-580-01 Para 2-3.1.2.4 and MCIPAC G-6 Policy Ltr 03-2024 Sec 4(c)(3)</t>
  </si>
  <si>
    <t>EA</t>
  </si>
  <si>
    <t>UFC 3-580-01 Para 2-3.1.2.4; MCIPAC G-6 Policy Ltr 03-2024 Sec 4(c)(3); NFPA 101</t>
  </si>
  <si>
    <t>SUBTOTAL - TR INTERIOR CONSTRUCTION</t>
  </si>
  <si>
    <t>3.  TELECOMMUNICATIONS ROOM - HVAC - Dedicated A/C per UFC 3-580-01 Para 2-3.1.3.3 &amp; 2-3.1.3.4</t>
  </si>
  <si>
    <t>TR-HVAC</t>
  </si>
  <si>
    <t>Install dedicated mini-split A/C unit (1.5-ton); independent 24/7/365 thermostat; NOT on building time clock or setback; positive atmospheric pressure; space and power capacity for one additional identical unit per Para 2-3.1.3.4(d) (load calculated at &lt;1 ton); includes refrigerant line, condensate, electrical connection</t>
  </si>
  <si>
    <t>UFC 3-580-01 Para 2-3.1.3.3 &amp; 2-3.1.3.4(d); TIA-569; ASHRAE Class B; UFC 3-410-01</t>
  </si>
  <si>
    <t>SUBTOTAL - TR HVAC</t>
  </si>
  <si>
    <t>4.  TELECOMMUNICATIONS ROOM - ELECTRICAL - Dedicated Panel and Wiring per UFC 3-580-01 Para 2-3.1.3.2</t>
  </si>
  <si>
    <t>TR-ELEC</t>
  </si>
  <si>
    <t>Install dedicated electrical branch circuit panel board; 100A min bus; 120/208V 3-phase; 24-space; feed all TR loads from dedicated panel per UFC 3-580-01 Para 2-3.1.3.2; includes panel, breakers, grounding</t>
  </si>
  <si>
    <t>UFC 3-580-01 Para 2-3.1.3.2; MCIPAC G-6 Policy Ltr 03-2024 Sec 4(c)(6)(a); NEC</t>
  </si>
  <si>
    <t>Install 125V 20A duplex convenience receptacles at 6 ft on-center intervals around TR perimeter walls; twist-lock type receptacles fed from dedicated circuits at each rack/cabinet per UFC 3-580-01 Para 2-3.1.3.2; includes wiring and conduit</t>
  </si>
  <si>
    <t>UFC 3-580-01 Para 2-3.1.3.2; MCIPAC G-6 Policy Ltr 03-2024 Sec 4(c)(6)(c)(d); NEC</t>
  </si>
  <si>
    <t>Install overhead cable tray system (slotted bottom); sized for 50 pct fill ratio; extend along three walls above equipment cabinets per MCIPAC G-6 Policy Ltr 03-2024 Sec 4(c)(8)(a); includes waterfalls, supports, bonding</t>
  </si>
  <si>
    <t>MCIPAC G-6 Policy Ltr 03-2024 Sec 4(c)(8)(a); UFC 3-580-01; TIA-569</t>
  </si>
  <si>
    <t>SUBTOTAL - TR ELECTRICAL</t>
  </si>
  <si>
    <t>5.  COMMUNICATIONS INFRASTRUCTURE MODERNIZATION - Full Facility Scope per MCIPAC G-6 Policy Ltr 03-2024 &amp; UFC 3-580-01 (21 Nov 2024)</t>
  </si>
  <si>
    <t>COMM</t>
  </si>
  <si>
    <t>Communications infrastructure modernization - full facility scope: (1) remove and dispose non-EMT conduit (full facility); (2) install EMT conduit; (3) Cat 6 UTP NIPR (green) and SIPR (red in EMT) cabling; (4) WAO installation (min 2-port per location; 450mm AFF NIPR / 950mm AFF SIPR); (5) new enclosed mesh TR cabinet seismic Zone 4 anchored (4x 1/2 in bolts); (6) patch panels + cable management (WAOs + 25 pct expansion); (7) relocate existing rack from open admin office to new TR; (8) cable testing and test report. Comm engineer preliminary ROM.</t>
  </si>
  <si>
    <t>YELLOW - comm engineer ROM $100,000 based on available info; additional site survey required (unit items impeded TR access during initial survey); MCIPAC G-6 Policy Ltr 03-2024 Sec 4(b)(c)(f)(g); UFC 3-580-01</t>
  </si>
  <si>
    <t>SUBTOTAL - COMMUNICATIONS INFRASTRUCTURE</t>
  </si>
  <si>
    <t>6.  HAZMAT - ACM MASTIC ABATEMENT - Bhate Environmental Survey 11/29/2001 (NVLAP accredited, Lab: Analytica Solutions)</t>
  </si>
  <si>
    <t>HAZMAT</t>
  </si>
  <si>
    <t>ACM abatement mobilization, containment setup, and demobilization; OSHA 29 CFR 1926.1101 compliant; licensed OCONUS contractor</t>
  </si>
  <si>
    <t>OSHA 1926.1101; 40 CFR Part 61 NESHAP; abatement required prior to slab penetrations (seismic anchors, TR construction)</t>
  </si>
  <si>
    <t>ACM mastic abatement (H2 - brown floor tile mastic, 5 pct Chrysotile); Room 101 (main warehouse bay) and interior hallway; floor penetrations for cage seismic anchors and TR construction trigger OSHA 1926.1101 disturbance threshold.</t>
  </si>
  <si>
    <t>SF</t>
  </si>
  <si>
    <t>YELLOW - PWD ENV confirmation pending: flooring in Room 101/hallway may have been replaced since 2001 Bhate survey; if mastic removed in prior replacement, scope reduces; Bhate Environmental Survey 11/29/2001, Sample H2, PA Form confirmed</t>
  </si>
  <si>
    <t>ACM waste disposal - licensed OCONUS facility; bagged and labeled per OSHA 1926.1101; manifest documentation</t>
  </si>
  <si>
    <t>OSHA 1926.1101; 40 CFR Part 61 NESHAP; OCONUS disposal surcharge included in unit rate</t>
  </si>
  <si>
    <t>Industrial hygienist air monitoring - pre-abatement, continuous during abatement, post-abatement; OSHA personal air sampling</t>
  </si>
  <si>
    <t>OSHA 1926.1101; standard OCONUS IH monitoring package</t>
  </si>
  <si>
    <t>Clearance testing and documentation; final air samples; written clearance report; all required regulatory submittals</t>
  </si>
  <si>
    <t>OSHA 1926.1101; EPA NESHAP; 40 CFR Part 61</t>
  </si>
  <si>
    <t>SUBTOTAL - HAZMAT ACM ABATEMENT</t>
  </si>
  <si>
    <t>TOTAL BASE DIRECT COST (FY24 CONUS Pre-ACF)</t>
  </si>
  <si>
    <t>SCH-3237  |  COST ESTIMATE PARAMETERS  |  LEVEL 3 ROM  |  FY27  |  Fi Web BU26PPE73M</t>
  </si>
  <si>
    <t>PROJECT IDENTIFICATION</t>
  </si>
  <si>
    <t>Estimate Title</t>
  </si>
  <si>
    <t>SCH-3237 Warehouse/Armory - Storage Reconfiguration + TR + Comm Infrastructure</t>
  </si>
  <si>
    <t>Text</t>
  </si>
  <si>
    <t>DD Form 1391 | PAX ID 387622</t>
  </si>
  <si>
    <t>Building / Installation</t>
  </si>
  <si>
    <t>SCH-3237 | Camp Schwab (Franklin St), Okinawa, Japan</t>
  </si>
  <si>
    <t>MCIPAC G-F</t>
  </si>
  <si>
    <t>Supported Units</t>
  </si>
  <si>
    <t>HQTRS 4th MAR REGT, 3MARDIV (M13201)</t>
  </si>
  <si>
    <t>AE Worksheet | HDR Engineering</t>
  </si>
  <si>
    <t>PAX ID</t>
  </si>
  <si>
    <t>ID</t>
  </si>
  <si>
    <t>PAX System</t>
  </si>
  <si>
    <t>Fi Web Project Number</t>
  </si>
  <si>
    <t>BU26PPE73M</t>
  </si>
  <si>
    <t>Fi Web - confirmed 09 Mar 2026</t>
  </si>
  <si>
    <t>Primary Project CCN</t>
  </si>
  <si>
    <t>44112</t>
  </si>
  <si>
    <t>CCN</t>
  </si>
  <si>
    <t>Covered Storage Building | UFC 2-000-05N</t>
  </si>
  <si>
    <t>Estimate Date</t>
  </si>
  <si>
    <t>09 Mar 2026</t>
  </si>
  <si>
    <t>Date</t>
  </si>
  <si>
    <t>Date of estimate production</t>
  </si>
  <si>
    <t>Estimate Level</t>
  </si>
  <si>
    <t>Level 3 ROM</t>
  </si>
  <si>
    <t>UFC</t>
  </si>
  <si>
    <t>UFS 3-740-05 (2 Feb 2026)</t>
  </si>
  <si>
    <t>Delivery Method</t>
  </si>
  <si>
    <t>Design-Build via FEAD</t>
  </si>
  <si>
    <t>DB</t>
  </si>
  <si>
    <t>UFC 3-730-01</t>
  </si>
  <si>
    <t>COST INPUTS (BLUE = USER INPUT)</t>
  </si>
  <si>
    <t>Parameter</t>
  </si>
  <si>
    <t>Value</t>
  </si>
  <si>
    <t>Unit</t>
  </si>
  <si>
    <t>Source / Authority</t>
  </si>
  <si>
    <t>Base Year</t>
  </si>
  <si>
    <t>FY</t>
  </si>
  <si>
    <t>FY24 CONUS base costs</t>
  </si>
  <si>
    <t>Target Fiscal Year</t>
  </si>
  <si>
    <t>FY27 construction start</t>
  </si>
  <si>
    <t>Area Cost Factor (ACF)</t>
  </si>
  <si>
    <t>Multiplier</t>
  </si>
  <si>
    <t>UFC 3-701-01 w/Change 7 (25 Jul 2025), Table 4-1, OCONUS, Camp Schwab, Okinawa, Japan</t>
  </si>
  <si>
    <t>Escalation Rate (annual)</t>
  </si>
  <si>
    <t>%</t>
  </si>
  <si>
    <t>OSD FY25 published construction escalation rate, client-confirmed</t>
  </si>
  <si>
    <t>Escalation Years</t>
  </si>
  <si>
    <t>Years</t>
  </si>
  <si>
    <t>FY24 base to FY27 target = 3 years</t>
  </si>
  <si>
    <t>Compound Escalation Factor</t>
  </si>
  <si>
    <t>Factor</t>
  </si>
  <si>
    <t>Live formula; (1.021)^3 = 1.0643</t>
  </si>
  <si>
    <t>General Requirements</t>
  </si>
  <si>
    <t>FSRM program-directed</t>
  </si>
  <si>
    <t>Contingency Rate</t>
  </si>
  <si>
    <t>FSRM program-directed; Level 3 ROM</t>
  </si>
  <si>
    <t>LSH Rate</t>
  </si>
  <si>
    <t>NAVFAC 11010.44E CH-1</t>
  </si>
  <si>
    <t>Design</t>
  </si>
  <si>
    <t>NAVFAC agency-directed</t>
  </si>
  <si>
    <t>SIOH</t>
  </si>
  <si>
    <t>OCONUS FSRM customer-directed - NOT standard 7.3%</t>
  </si>
  <si>
    <t>Construction Management (CM)</t>
  </si>
  <si>
    <t>Agency-directed</t>
  </si>
  <si>
    <t>Design-Build Design</t>
  </si>
  <si>
    <t>Applied AFTER Total Funded per UFC 3-730-01 (2024)</t>
  </si>
  <si>
    <t>Total Building GSF (iNFADS / AE Worksheet)</t>
  </si>
  <si>
    <t>AE Worksheet confirmed |Site visit 3/4/2024 | RPUID 51473</t>
  </si>
  <si>
    <t>EXCHANGE RATE (DISPLAY ONLY - does not affect ROM chain)</t>
  </si>
  <si>
    <t>JPY/USD Exchange Rate - VERIFY BEFORE SUBMISSION</t>
  </si>
  <si>
    <t>JPY/USD</t>
  </si>
  <si>
    <t xml:space="preserve"> Federal Reserve H.10 | Noon buying rate | 2026-02-27 | Next release 09 Mar 2026; today spot ~158.72</t>
  </si>
  <si>
    <t>PLANT REPLACEMENT VALUE (PRV) - iNFADS CONFIRMED</t>
  </si>
  <si>
    <t>iNFADS RPUID</t>
  </si>
  <si>
    <t>iNFADS | Camp Schwab | RPUID confirmed</t>
  </si>
  <si>
    <t>Plant Replacement Value (PRV - iNFADS confirmed)</t>
  </si>
  <si>
    <t>$</t>
  </si>
  <si>
    <t>iNFADS EOY value | RPUID 51473 | Not formula-derived | See Section F Item 11 for deviation vs formula PRV</t>
  </si>
  <si>
    <t>PRV Implied Unit Cost Check (PRV / GSF / ACF)</t>
  </si>
  <si>
    <t>$/SF</t>
  </si>
  <si>
    <t>Live formula - informational only</t>
  </si>
  <si>
    <t>LSH Allowance (2.5% of PRV)</t>
  </si>
  <si>
    <t>PRV x 2.5% | NAVFAC 11010.44E CH-1 | MCO 11000.12 | UFC 3-701-01 w/Change 7 Table 3</t>
  </si>
  <si>
    <t xml:space="preserve"> NOTE: Formula PRV (FAC 4427/4421/6100) = $36,265,860; iNFADS PRV = $26,636,215; delta = -$9,629,645. See ESTIMATE Section F Item 11.</t>
  </si>
  <si>
    <t>SCH-3237  |  DD FORM 1391 BLOCK 9  |  LEVEL 3 ROM  |  FY27  |  PAX ID 387622  |  Fi Web BU26PPE73M</t>
  </si>
  <si>
    <t>All amounts in $000s per DD Form 1391 convention. All formulas pull from ESTIMATE and SCOPE_DETAIL tabs. Carry to dollar; round only here.</t>
  </si>
  <si>
    <t>Cost Element</t>
  </si>
  <si>
    <t>Amount ($000s)</t>
  </si>
  <si>
    <t>Notes / Authority</t>
  </si>
  <si>
    <t xml:space="preserve">  [C10]  1. Storage Reconfiguration - Cage Removal and New Partitions, Room 101</t>
  </si>
  <si>
    <t>Cage work | UNIFORMAT C10</t>
  </si>
  <si>
    <t xml:space="preserve">  [C10]  2. Telecommunications Room - Interior Construction (Walls, Backboards, Door)</t>
  </si>
  <si>
    <t>TR Interior | UNIFORMAT C10</t>
  </si>
  <si>
    <t xml:space="preserve">  [D30]  3. Telecommunications Room - Dedicated HVAC (Independent 24/7 A/C, UFC 3-580-01)</t>
  </si>
  <si>
    <t>TR HVAC | UNIFORMAT D30</t>
  </si>
  <si>
    <t xml:space="preserve">  [D50]  4. Telecommunications Room - Electrical Infrastructure (Panel, Receptacles, Cable Tray)</t>
  </si>
  <si>
    <t>TR Electrical | UNIFORMAT D50</t>
  </si>
  <si>
    <t xml:space="preserve">  [D50]  5. Communications Infrastructure Modernization (EMT, Cat6 NIPR/SIPR, WAO, Cabinet, Testing)</t>
  </si>
  <si>
    <t>Comm Infrastructure | UNIFORMAT D50; comm engineer ROM $100,000 [YELLOW]</t>
  </si>
  <si>
    <t xml:space="preserve">  [F10]  6. HAZMAT - ACM Mastic Abatement (Bhate Environmental Survey 2001; H2 Chrysotile; Room 101 + Hallway)</t>
  </si>
  <si>
    <t>HAZMAT ACM | UNIFORMAT F10 [YELLOW - PWD ENV confirm pending]</t>
  </si>
  <si>
    <t>Subtotal (Base Direct x ACF x Escalation x General Requirements)</t>
  </si>
  <si>
    <t xml:space="preserve"> Must equal ESTIMATE!B8/1000</t>
  </si>
  <si>
    <t xml:space="preserve">  Contingency (10.0%) - FSRM Program-Directed</t>
  </si>
  <si>
    <t>10% of GR-applied subtotal; FSRM program-directed | UFS 3-740-05 (2 Feb 2026)</t>
  </si>
  <si>
    <t xml:space="preserve">  Life Safety and Health (LSH) - 2.5% of PRV</t>
  </si>
  <si>
    <t>PRV $26,636,215 | iNFADS RPUID 51473 | NAVFAC 11010.44E CH-1 | MCO 11000.12 | UFC 3-701-01 w/Change 7 Table 3</t>
  </si>
  <si>
    <t xml:space="preserve">  Design (6.0%) - Applied to Construction Base</t>
  </si>
  <si>
    <t>6.0% of Construction Base - NAVFAC agency-directed</t>
  </si>
  <si>
    <t xml:space="preserve">  SIOH (8.0%) - OCONUS FSRM Customer-Directed Rate</t>
  </si>
  <si>
    <t>8.0% of Construction Base - OCONUS FSRM customer-directed (NOT standard 7.3%)</t>
  </si>
  <si>
    <t xml:space="preserve">  Construction Management (4.0%)</t>
  </si>
  <si>
    <t>4.0% of Construction Base - agency-directed</t>
  </si>
  <si>
    <t>Construction Base + Design + SIOH + CM</t>
  </si>
  <si>
    <t xml:space="preserve">  Classification of Work: Construction</t>
  </si>
  <si>
    <t>100% Construction | MCO 11000.12 | DoD 4270.5-M</t>
  </si>
  <si>
    <t xml:space="preserve">  Classification of Work: Special Interest - Sustainment, Restoration and Modernization</t>
  </si>
  <si>
    <t>100% SRM | MCO 11000.12 | DoD 4270.5-M</t>
  </si>
  <si>
    <t>Design-Build Design (4.0%) - Applied AFTER Total Funded</t>
  </si>
  <si>
    <t>Per DD Form 1391 Block 9 convention: DB design applied after Total Funded | UFC 3-730-01 (2024)</t>
  </si>
  <si>
    <t>Planning and Design (0%) (NON ADD)</t>
  </si>
  <si>
    <t>No separate P&amp;D - included in program adders above</t>
  </si>
  <si>
    <t>LOCKED PARAMETERS - DO NOT CHANGE WITHOUT WRITTEN DIRECTION</t>
  </si>
  <si>
    <t xml:space="preserve">  ACF</t>
  </si>
  <si>
    <t>1.85 - Camp Schwab, Okinawa per UFC 3-701-01 w/Change 7 (25 Jul 2025), Table 4-1, site M67400-0004</t>
  </si>
  <si>
    <t xml:space="preserve">  Escalation</t>
  </si>
  <si>
    <t>2.1%/yr | FY24 to FY27 | (1.021)^3 = 1.0643 | OSD FY25 published rate</t>
  </si>
  <si>
    <t xml:space="preserve">  General Requirements</t>
  </si>
  <si>
    <t>10.0% - FSRM program-directed</t>
  </si>
  <si>
    <t xml:space="preserve">  Contingency</t>
  </si>
  <si>
    <t>10.0% - FSRM program-directed | Level 3 ROM</t>
  </si>
  <si>
    <t xml:space="preserve">  SIOH</t>
  </si>
  <si>
    <t>8.0% - OCONUS FSRM customer-directed (NOT standard 7.3%)</t>
  </si>
  <si>
    <t xml:space="preserve">  Design</t>
  </si>
  <si>
    <t>6.0% of Construction Base</t>
  </si>
  <si>
    <t xml:space="preserve">  CM</t>
  </si>
  <si>
    <t>4.0% of Construction Base</t>
  </si>
  <si>
    <t xml:space="preserve">  DB Design</t>
  </si>
  <si>
    <t>4.0% applied AFTER Total Funded per UFC 3-730-01 (2024)</t>
  </si>
  <si>
    <t xml:space="preserve">  LSH</t>
  </si>
  <si>
    <t>2.5% of iNFADS PRV $26,636,215 = $665,905 | RPUID 51473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</si>
</sst>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#,##0"/>
    <numFmt numFmtId="165" formatCode="\$#,##0.00"/>
    <numFmt numFmtId="166" formatCode="0.0%"/>
    <numFmt numFmtId="167" formatCode="#,##0.000"/>
  </numFmts>
  <fonts count="16" x14ac:knownFonts="1">
    <font>
      <sz val="11"/>
      <color theme="1"/>
      <name val="Calibri"/>
      <family val="2"/>
      <charset val="1"/>
    </font>
    <font>
      <b/>
      <sz val="12"/>
      <color rgb="FFFFFFFF"/>
      <name val="Calibri"/>
      <charset val="1"/>
    </font>
    <font>
      <b/>
      <sz val="10"/>
      <color rgb="FFFFFFFF"/>
      <name val="Calibri"/>
      <charset val="1"/>
    </font>
    <font>
      <b/>
      <sz val="9"/>
      <color rgb="FF000000"/>
      <name val="Calibri"/>
      <charset val="1"/>
    </font>
    <font>
      <sz val="9"/>
      <color rgb="FF000000"/>
      <name val="Calibri"/>
      <charset val="1"/>
    </font>
    <font>
      <sz val="9"/>
      <color rgb="FF008000"/>
      <name val="Calibri"/>
      <charset val="1"/>
    </font>
    <font>
      <sz val="8"/>
      <color rgb="FF444444"/>
      <name val="Calibri"/>
      <charset val="1"/>
    </font>
    <font>
      <b/>
      <sz val="10"/>
      <color rgb="FF000000"/>
      <name val="Calibri"/>
      <charset val="1"/>
    </font>
    <font>
      <sz val="9"/>
      <color rgb="FF444444"/>
      <name val="Calibri"/>
      <charset val="1"/>
    </font>
    <font>
      <b/>
      <sz val="11"/>
      <color rgb="FFFFFFFF"/>
      <name val="Calibri"/>
      <charset val="1"/>
    </font>
    <font>
      <b/>
      <sz val="9"/>
      <color rgb="FFFFFFFF"/>
      <name val="Calibri"/>
      <charset val="1"/>
    </font>
    <font>
      <sz val="9"/>
      <color rgb="FF0070C0"/>
      <name val="Calibri"/>
      <charset val="1"/>
    </font>
    <font>
      <i/>
      <sz val="9"/>
      <color rgb="FFC00000"/>
      <name val="Calibri"/>
      <charset val="1"/>
    </font>
    <font>
      <i/>
      <sz val="8"/>
      <color rgb="FFC00000"/>
      <name val="Calibri"/>
      <charset val="1"/>
    </font>
    <font>
      <sz val="9"/>
      <color rgb="FF444444"/>
      <name val="Calibri"/>
      <family val="2"/>
    </font>
    <font>
      <sz val="9"/>
      <color rgb="FF00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1B2A4A"/>
        <bgColor rgb="FF003300"/>
      </patternFill>
    </fill>
    <fill>
      <patternFill patternType="solid">
        <fgColor rgb="FF2E4A7A"/>
        <bgColor rgb="FF1F4E79"/>
      </patternFill>
    </fill>
    <fill>
      <patternFill patternType="solid">
        <fgColor rgb="FFBDD7EE"/>
        <bgColor rgb="FFD6DCE4"/>
      </patternFill>
    </fill>
    <fill>
      <patternFill patternType="solid">
        <fgColor rgb="FFD9E1EC"/>
        <bgColor rgb="FFD6DCE4"/>
      </patternFill>
    </fill>
    <fill>
      <patternFill patternType="solid">
        <fgColor rgb="FFD6DCE4"/>
        <bgColor rgb="FFD9E1EC"/>
      </patternFill>
    </fill>
    <fill>
      <patternFill patternType="solid">
        <fgColor rgb="FFEBF5FF"/>
        <bgColor rgb="FFF2F5FA"/>
      </patternFill>
    </fill>
    <fill>
      <patternFill patternType="solid">
        <fgColor rgb="FFF2F5FA"/>
        <bgColor rgb="FFEBF5FF"/>
      </patternFill>
    </fill>
    <fill>
      <patternFill patternType="solid">
        <fgColor rgb="FFFFFF00"/>
        <bgColor rgb="FFFFFF00"/>
      </patternFill>
    </fill>
    <fill>
      <patternFill patternType="solid">
        <fgColor rgb="FFE8EEF6"/>
        <bgColor rgb="FFEBF5FF"/>
      </patternFill>
    </fill>
    <fill>
      <patternFill patternType="solid">
        <fgColor rgb="FF1F4E79"/>
        <bgColor rgb="FF2E4A7A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4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vertical="center" wrapText="1"/>
    </xf>
    <xf numFmtId="0" fontId="11" fillId="9" borderId="1" xfId="0" applyFont="1" applyFill="1" applyBorder="1" applyAlignment="1">
      <alignment horizontal="center" vertical="center"/>
    </xf>
    <xf numFmtId="164" fontId="11" fillId="9" borderId="1" xfId="0" applyNumberFormat="1" applyFont="1" applyFill="1" applyBorder="1" applyAlignment="1">
      <alignment horizontal="center" vertical="center"/>
    </xf>
    <xf numFmtId="164" fontId="4" fillId="9" borderId="1" xfId="0" applyNumberFormat="1" applyFont="1" applyFill="1" applyBorder="1" applyAlignment="1">
      <alignment horizontal="center" vertical="center"/>
    </xf>
    <xf numFmtId="3" fontId="5" fillId="9" borderId="1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center" wrapText="1"/>
    </xf>
    <xf numFmtId="0" fontId="11" fillId="0" borderId="1" xfId="0" applyFont="1" applyBorder="1" applyAlignment="1">
      <alignment horizontal="center" vertical="center"/>
    </xf>
    <xf numFmtId="164" fontId="11" fillId="0" borderId="1" xfId="0" applyNumberFormat="1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6" fillId="9" borderId="1" xfId="0" applyFont="1" applyFill="1" applyBorder="1" applyAlignment="1">
      <alignment vertical="center" wrapText="1"/>
    </xf>
    <xf numFmtId="164" fontId="3" fillId="6" borderId="4" xfId="0" applyNumberFormat="1" applyFont="1" applyFill="1" applyBorder="1" applyAlignment="1">
      <alignment vertical="center"/>
    </xf>
    <xf numFmtId="0" fontId="0" fillId="6" borderId="4" xfId="0" applyFill="1" applyBorder="1" applyAlignment="1">
      <alignment vertical="center"/>
    </xf>
    <xf numFmtId="0" fontId="6" fillId="0" borderId="1" xfId="0" applyFont="1" applyBorder="1" applyAlignment="1">
      <alignment vertical="center" wrapText="1"/>
    </xf>
    <xf numFmtId="0" fontId="0" fillId="4" borderId="3" xfId="0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3" fillId="4" borderId="1" xfId="0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164" fontId="5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164" fontId="3" fillId="0" borderId="2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vertical="center"/>
    </xf>
    <xf numFmtId="0" fontId="7" fillId="5" borderId="3" xfId="0" applyFont="1" applyFill="1" applyBorder="1" applyAlignment="1">
      <alignment vertical="center"/>
    </xf>
    <xf numFmtId="164" fontId="7" fillId="5" borderId="3" xfId="0" applyNumberFormat="1" applyFont="1" applyFill="1" applyBorder="1" applyAlignment="1">
      <alignment horizontal="center" vertical="center"/>
    </xf>
    <xf numFmtId="0" fontId="3" fillId="5" borderId="3" xfId="0" applyFont="1" applyFill="1" applyBorder="1" applyAlignment="1">
      <alignment vertical="center"/>
    </xf>
    <xf numFmtId="0" fontId="7" fillId="4" borderId="3" xfId="0" applyFont="1" applyFill="1" applyBorder="1" applyAlignment="1">
      <alignment vertical="center"/>
    </xf>
    <xf numFmtId="164" fontId="7" fillId="4" borderId="3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vertical="center"/>
    </xf>
    <xf numFmtId="0" fontId="7" fillId="6" borderId="3" xfId="0" applyFont="1" applyFill="1" applyBorder="1" applyAlignment="1">
      <alignment vertical="center"/>
    </xf>
    <xf numFmtId="164" fontId="7" fillId="6" borderId="3" xfId="0" applyNumberFormat="1" applyFont="1" applyFill="1" applyBorder="1" applyAlignment="1">
      <alignment horizontal="center" vertical="center"/>
    </xf>
    <xf numFmtId="0" fontId="3" fillId="6" borderId="3" xfId="0" applyFont="1" applyFill="1" applyBorder="1" applyAlignment="1">
      <alignment vertical="center"/>
    </xf>
    <xf numFmtId="165" fontId="4" fillId="0" borderId="1" xfId="0" applyNumberFormat="1" applyFont="1" applyBorder="1" applyAlignment="1">
      <alignment horizontal="center" vertical="center"/>
    </xf>
    <xf numFmtId="0" fontId="3" fillId="6" borderId="2" xfId="0" applyFont="1" applyFill="1" applyBorder="1" applyAlignment="1">
      <alignment vertical="center"/>
    </xf>
    <xf numFmtId="0" fontId="6" fillId="6" borderId="2" xfId="0" applyFont="1" applyFill="1" applyBorder="1" applyAlignment="1">
      <alignment horizontal="center" vertical="center"/>
    </xf>
    <xf numFmtId="0" fontId="3" fillId="7" borderId="3" xfId="0" applyFont="1" applyFill="1" applyBorder="1" applyAlignment="1">
      <alignment vertical="center"/>
    </xf>
    <xf numFmtId="164" fontId="3" fillId="7" borderId="3" xfId="0" applyNumberFormat="1" applyFont="1" applyFill="1" applyBorder="1" applyAlignment="1">
      <alignment horizontal="center" vertical="center"/>
    </xf>
    <xf numFmtId="0" fontId="6" fillId="7" borderId="3" xfId="0" applyFont="1" applyFill="1" applyBorder="1" applyAlignment="1">
      <alignment vertical="center"/>
    </xf>
    <xf numFmtId="0" fontId="0" fillId="0" borderId="1" xfId="0" applyBorder="1" applyAlignment="1">
      <alignment vertical="center"/>
    </xf>
    <xf numFmtId="166" fontId="4" fillId="0" borderId="1" xfId="0" applyNumberFormat="1" applyFont="1" applyBorder="1" applyAlignment="1">
      <alignment horizontal="center" vertical="center"/>
    </xf>
    <xf numFmtId="0" fontId="3" fillId="8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0" fillId="3" borderId="1" xfId="0" applyFill="1" applyBorder="1" applyAlignment="1">
      <alignment horizontal="center" vertical="center"/>
    </xf>
    <xf numFmtId="0" fontId="4" fillId="8" borderId="1" xfId="0" applyFont="1" applyFill="1" applyBorder="1" applyAlignment="1">
      <alignment vertical="center"/>
    </xf>
    <xf numFmtId="0" fontId="6" fillId="10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vertical="center"/>
    </xf>
    <xf numFmtId="0" fontId="12" fillId="9" borderId="1" xfId="0" applyFont="1" applyFill="1" applyBorder="1" applyAlignment="1">
      <alignment vertical="center"/>
    </xf>
    <xf numFmtId="0" fontId="6" fillId="9" borderId="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vertical="center"/>
    </xf>
    <xf numFmtId="0" fontId="6" fillId="10" borderId="2" xfId="0" applyFont="1" applyFill="1" applyBorder="1" applyAlignment="1">
      <alignment horizontal="center" vertical="center"/>
    </xf>
    <xf numFmtId="0" fontId="6" fillId="10" borderId="2" xfId="0" applyFont="1" applyFill="1" applyBorder="1" applyAlignment="1">
      <alignment vertical="center"/>
    </xf>
    <xf numFmtId="0" fontId="6" fillId="10" borderId="3" xfId="0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vertical="center"/>
    </xf>
    <xf numFmtId="0" fontId="13" fillId="9" borderId="1" xfId="0" applyFon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9" borderId="1" xfId="0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0" fontId="11" fillId="7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164" fontId="11" fillId="7" borderId="2" xfId="0" applyNumberFormat="1" applyFont="1" applyFill="1" applyBorder="1" applyAlignment="1">
      <alignment horizontal="center" vertical="center"/>
    </xf>
    <xf numFmtId="165" fontId="4" fillId="10" borderId="1" xfId="0" applyNumberFormat="1" applyFont="1" applyFill="1" applyBorder="1" applyAlignment="1">
      <alignment horizontal="center" vertical="center"/>
    </xf>
    <xf numFmtId="164" fontId="3" fillId="5" borderId="3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0" fillId="11" borderId="1" xfId="0" applyFont="1" applyFill="1" applyBorder="1" applyAlignment="1">
      <alignment vertical="center"/>
    </xf>
    <xf numFmtId="0" fontId="10" fillId="11" borderId="1" xfId="0" applyFont="1" applyFill="1" applyBorder="1" applyAlignment="1">
      <alignment horizontal="center" vertical="center"/>
    </xf>
    <xf numFmtId="167" fontId="4" fillId="0" borderId="1" xfId="0" applyNumberFormat="1" applyFont="1" applyBorder="1" applyAlignment="1">
      <alignment horizontal="center" vertical="center"/>
    </xf>
    <xf numFmtId="167" fontId="3" fillId="6" borderId="3" xfId="0" applyNumberFormat="1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167" fontId="5" fillId="0" borderId="1" xfId="0" applyNumberFormat="1" applyFont="1" applyBorder="1" applyAlignment="1">
      <alignment horizontal="center" vertical="center"/>
    </xf>
    <xf numFmtId="167" fontId="7" fillId="4" borderId="3" xfId="0" applyNumberFormat="1" applyFont="1" applyFill="1" applyBorder="1" applyAlignment="1">
      <alignment horizontal="center" vertical="center"/>
    </xf>
    <xf numFmtId="167" fontId="7" fillId="6" borderId="3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0" fontId="0" fillId="8" borderId="1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64" fontId="3" fillId="6" borderId="4" xfId="0" applyNumberFormat="1" applyFont="1" applyFill="1" applyBorder="1" applyAlignment="1">
      <alignment horizontal="center" vertical="center"/>
    </xf>
    <xf numFmtId="0" fontId="15" fillId="9" borderId="1" xfId="0" applyFont="1" applyFill="1" applyBorder="1" applyAlignment="1">
      <alignment vertical="center" wrapText="1"/>
    </xf>
    <xf numFmtId="164" fontId="3" fillId="6" borderId="2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wrapText="1"/>
    </xf>
    <xf numFmtId="0" fontId="8" fillId="0" borderId="1" xfId="0" applyFont="1" applyBorder="1" applyAlignment="1">
      <alignment vertical="center" wrapText="1"/>
    </xf>
    <xf numFmtId="0" fontId="14" fillId="0" borderId="1" xfId="0" applyFont="1" applyBorder="1" applyAlignment="1">
      <alignment vertical="center" wrapText="1"/>
    </xf>
    <xf numFmtId="0" fontId="2" fillId="3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3" fillId="6" borderId="4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 wrapText="1"/>
    </xf>
    <xf numFmtId="0" fontId="7" fillId="4" borderId="3" xfId="0" applyFont="1" applyFill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6DCE4"/>
      <rgbColor rgb="FF808080"/>
      <rgbColor rgb="FF9999FF"/>
      <rgbColor rgb="FF993366"/>
      <rgbColor rgb="FFF2F5FA"/>
      <rgbColor rgb="FFEBF5FF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EF6"/>
      <rgbColor rgb="FFD9E1E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4E79"/>
      <rgbColor rgb="FF339966"/>
      <rgbColor rgb="FF003300"/>
      <rgbColor rgb="FF444444"/>
      <rgbColor rgb="FF993300"/>
      <rgbColor rgb="FF993366"/>
      <rgbColor rgb="FF2E4A7A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4"/>
  <sheetViews>
    <sheetView tabSelected="1" zoomScale="120" zoomScaleNormal="120" workbookViewId="0">
      <selection activeCell="B2" sqref="B2"/>
    </sheetView>
  </sheetViews>
  <sheetFormatPr defaultColWidth="8.7265625" defaultRowHeight="14.5" x14ac:dyDescent="0.35"/>
  <cols>
    <col min="1" max="1" width="47.1796875" style="13" bestFit="1" customWidth="1"/>
    <col min="2" max="2" width="27.81640625" style="19" bestFit="1" customWidth="1"/>
    <col min="3" max="3" width="90.54296875" style="13" bestFit="1" customWidth="1"/>
    <col min="4" max="16384" width="8.7265625" style="13"/>
  </cols>
  <sheetData>
    <row r="1" spans="1:3" ht="21.75" customHeight="1" x14ac:dyDescent="0.35">
      <c r="A1" s="90" t="s">
        <v>0</v>
      </c>
      <c r="B1" s="90"/>
      <c r="C1" s="90"/>
    </row>
    <row r="3" spans="1:3" ht="18" customHeight="1" x14ac:dyDescent="0.35">
      <c r="A3" s="89" t="s">
        <v>1</v>
      </c>
      <c r="B3" s="89"/>
      <c r="C3" s="89"/>
    </row>
    <row r="4" spans="1:3" ht="15.75" customHeight="1" x14ac:dyDescent="0.35">
      <c r="A4" s="20" t="s">
        <v>2</v>
      </c>
      <c r="B4" s="21" t="s">
        <v>3</v>
      </c>
      <c r="C4" s="20" t="s">
        <v>4</v>
      </c>
    </row>
    <row r="5" spans="1:3" ht="15.75" customHeight="1" x14ac:dyDescent="0.35">
      <c r="A5" s="22" t="s">
        <v>5</v>
      </c>
      <c r="B5" s="23">
        <f>SCOPE_DETAIL!G29</f>
        <v>218320</v>
      </c>
      <c r="C5" s="24" t="s">
        <v>6</v>
      </c>
    </row>
    <row r="6" spans="1:3" ht="15.75" customHeight="1" x14ac:dyDescent="0.35">
      <c r="A6" s="22" t="s">
        <v>7</v>
      </c>
      <c r="B6" s="11">
        <f>B5*PARAMETERS!B18</f>
        <v>403892</v>
      </c>
      <c r="C6" s="24" t="s">
        <v>8</v>
      </c>
    </row>
    <row r="7" spans="1:3" ht="15.75" customHeight="1" x14ac:dyDescent="0.35">
      <c r="A7" s="22" t="s">
        <v>9</v>
      </c>
      <c r="B7" s="11">
        <f>B6*PARAMETERS!B21</f>
        <v>429875.28555981186</v>
      </c>
      <c r="C7" s="24" t="s">
        <v>10</v>
      </c>
    </row>
    <row r="8" spans="1:3" ht="15.75" customHeight="1" x14ac:dyDescent="0.35">
      <c r="A8" s="22" t="s">
        <v>11</v>
      </c>
      <c r="B8" s="11">
        <f>B7*(1+PARAMETERS!B22)</f>
        <v>472862.81411579309</v>
      </c>
      <c r="C8" s="24" t="s">
        <v>12</v>
      </c>
    </row>
    <row r="9" spans="1:3" ht="15.75" customHeight="1" x14ac:dyDescent="0.35">
      <c r="A9" s="25" t="s">
        <v>13</v>
      </c>
      <c r="B9" s="26">
        <f>ROUND(B8*(1+PARAMETERS!B23),0)</f>
        <v>520149</v>
      </c>
      <c r="C9" s="27" t="s">
        <v>14</v>
      </c>
    </row>
    <row r="10" spans="1:3" ht="15.75" customHeight="1" x14ac:dyDescent="0.35">
      <c r="A10" s="22" t="s">
        <v>15</v>
      </c>
      <c r="B10" s="23">
        <f>PARAMETERS!B40</f>
        <v>665905</v>
      </c>
      <c r="C10" s="24" t="s">
        <v>16</v>
      </c>
    </row>
    <row r="11" spans="1:3" ht="18" customHeight="1" x14ac:dyDescent="0.35">
      <c r="A11" s="28" t="s">
        <v>17</v>
      </c>
      <c r="B11" s="29">
        <f>B9+B10</f>
        <v>1186054</v>
      </c>
      <c r="C11" s="30" t="s">
        <v>18</v>
      </c>
    </row>
    <row r="13" spans="1:3" ht="18" customHeight="1" x14ac:dyDescent="0.35">
      <c r="A13" s="89" t="s">
        <v>19</v>
      </c>
      <c r="B13" s="89"/>
      <c r="C13" s="89"/>
    </row>
    <row r="14" spans="1:3" ht="13.5" customHeight="1" x14ac:dyDescent="0.35">
      <c r="A14" s="20" t="s">
        <v>2</v>
      </c>
      <c r="B14" s="21" t="s">
        <v>3</v>
      </c>
      <c r="C14" s="20" t="s">
        <v>4</v>
      </c>
    </row>
    <row r="15" spans="1:3" ht="15.75" customHeight="1" x14ac:dyDescent="0.35">
      <c r="A15" s="22" t="s">
        <v>20</v>
      </c>
      <c r="B15" s="11">
        <f>B11*PARAMETERS!B25</f>
        <v>71163.239999999991</v>
      </c>
      <c r="C15" s="24" t="s">
        <v>21</v>
      </c>
    </row>
    <row r="16" spans="1:3" ht="15.75" customHeight="1" x14ac:dyDescent="0.35">
      <c r="A16" s="22" t="s">
        <v>22</v>
      </c>
      <c r="B16" s="11">
        <f>B11*PARAMETERS!B26</f>
        <v>94884.32</v>
      </c>
      <c r="C16" s="24" t="s">
        <v>23</v>
      </c>
    </row>
    <row r="17" spans="1:3" ht="15.75" customHeight="1" x14ac:dyDescent="0.35">
      <c r="A17" s="22" t="s">
        <v>24</v>
      </c>
      <c r="B17" s="11">
        <f>B11*PARAMETERS!B27</f>
        <v>47442.16</v>
      </c>
      <c r="C17" s="24" t="s">
        <v>25</v>
      </c>
    </row>
    <row r="18" spans="1:3" ht="18" customHeight="1" x14ac:dyDescent="0.35">
      <c r="A18" s="31" t="s">
        <v>26</v>
      </c>
      <c r="B18" s="32">
        <f>ROUND(B11+B15+B16+B17,0)</f>
        <v>1399544</v>
      </c>
      <c r="C18" s="33" t="s">
        <v>27</v>
      </c>
    </row>
    <row r="19" spans="1:3" ht="15.75" customHeight="1" x14ac:dyDescent="0.35">
      <c r="A19" s="22" t="s">
        <v>28</v>
      </c>
      <c r="B19" s="11">
        <f>B18*PARAMETERS!B28</f>
        <v>55981.760000000002</v>
      </c>
      <c r="C19" s="24" t="s">
        <v>29</v>
      </c>
    </row>
    <row r="20" spans="1:3" ht="18" customHeight="1" x14ac:dyDescent="0.35">
      <c r="A20" s="34" t="s">
        <v>30</v>
      </c>
      <c r="B20" s="35">
        <f>B18+B19</f>
        <v>1455525.76</v>
      </c>
      <c r="C20" s="36" t="s">
        <v>31</v>
      </c>
    </row>
    <row r="22" spans="1:3" ht="15.75" customHeight="1" x14ac:dyDescent="0.35">
      <c r="A22" s="89" t="s">
        <v>32</v>
      </c>
      <c r="B22" s="89"/>
      <c r="C22" s="89"/>
    </row>
    <row r="23" spans="1:3" ht="13.5" customHeight="1" x14ac:dyDescent="0.35">
      <c r="A23" s="20" t="s">
        <v>33</v>
      </c>
      <c r="B23" s="21" t="s">
        <v>34</v>
      </c>
      <c r="C23" s="20" t="s">
        <v>35</v>
      </c>
    </row>
    <row r="24" spans="1:3" ht="15.75" customHeight="1" x14ac:dyDescent="0.35">
      <c r="A24" s="22" t="s">
        <v>36</v>
      </c>
      <c r="B24" s="37">
        <f>B18/PARAMETERS!B29</f>
        <v>45.185936137926582</v>
      </c>
      <c r="C24" s="24" t="s">
        <v>37</v>
      </c>
    </row>
    <row r="26" spans="1:3" ht="15.75" customHeight="1" x14ac:dyDescent="0.35">
      <c r="A26" s="89" t="s">
        <v>38</v>
      </c>
      <c r="B26" s="89"/>
      <c r="C26" s="89"/>
    </row>
    <row r="27" spans="1:3" ht="13.5" customHeight="1" x14ac:dyDescent="0.35">
      <c r="A27" s="20" t="s">
        <v>39</v>
      </c>
      <c r="B27" s="21" t="s">
        <v>40</v>
      </c>
      <c r="C27" s="20" t="s">
        <v>41</v>
      </c>
    </row>
    <row r="28" spans="1:3" ht="15" customHeight="1" x14ac:dyDescent="0.35">
      <c r="A28" s="22" t="s">
        <v>42</v>
      </c>
      <c r="B28" s="7" t="s">
        <v>43</v>
      </c>
      <c r="C28" s="11">
        <f>SUMIF(SCOPE_DETAIL!$I:$I,"C10",SCOPE_DETAIL!$G:$G)</f>
        <v>48100</v>
      </c>
    </row>
    <row r="29" spans="1:3" ht="15" customHeight="1" x14ac:dyDescent="0.35">
      <c r="A29" s="22" t="s">
        <v>44</v>
      </c>
      <c r="B29" s="7" t="s">
        <v>45</v>
      </c>
      <c r="C29" s="11">
        <f>SUMIF(SCOPE_DETAIL!$I:$I,"D30",SCOPE_DETAIL!$G:$G)</f>
        <v>4500</v>
      </c>
    </row>
    <row r="30" spans="1:3" ht="15" customHeight="1" x14ac:dyDescent="0.35">
      <c r="A30" s="22" t="s">
        <v>46</v>
      </c>
      <c r="B30" s="7" t="s">
        <v>47</v>
      </c>
      <c r="C30" s="11">
        <f>SUMIF(SCOPE_DETAIL!$I:$I,"D50",SCOPE_DETAIL!$G:$G)</f>
        <v>107000</v>
      </c>
    </row>
    <row r="31" spans="1:3" ht="15" customHeight="1" x14ac:dyDescent="0.35">
      <c r="A31" s="22" t="s">
        <v>48</v>
      </c>
      <c r="B31" s="7" t="s">
        <v>49</v>
      </c>
      <c r="C31" s="11">
        <f>SUMIF(SCOPE_DETAIL!$I:$I,"F10",SCOPE_DETAIL!$G:$G)</f>
        <v>58720</v>
      </c>
    </row>
    <row r="32" spans="1:3" ht="15" customHeight="1" x14ac:dyDescent="0.35">
      <c r="A32" s="38" t="s">
        <v>50</v>
      </c>
      <c r="B32" s="39" t="s">
        <v>51</v>
      </c>
      <c r="C32" s="85">
        <f>SUM(C28:C31)</f>
        <v>218320</v>
      </c>
    </row>
    <row r="34" spans="1:3" ht="15.75" customHeight="1" x14ac:dyDescent="0.35">
      <c r="A34" s="89" t="s">
        <v>52</v>
      </c>
      <c r="B34" s="89"/>
      <c r="C34" s="89"/>
    </row>
    <row r="35" spans="1:3" ht="13.5" customHeight="1" x14ac:dyDescent="0.35">
      <c r="A35" s="20" t="s">
        <v>53</v>
      </c>
      <c r="B35" s="21" t="s">
        <v>54</v>
      </c>
      <c r="C35" s="20" t="s">
        <v>55</v>
      </c>
    </row>
    <row r="36" spans="1:3" ht="15.75" customHeight="1" x14ac:dyDescent="0.35">
      <c r="A36" s="22" t="s">
        <v>56</v>
      </c>
      <c r="B36" s="11">
        <v>1520939</v>
      </c>
      <c r="C36" s="24" t="s">
        <v>57</v>
      </c>
    </row>
    <row r="37" spans="1:3" ht="15.75" customHeight="1" x14ac:dyDescent="0.35">
      <c r="A37" s="40" t="s">
        <v>58</v>
      </c>
      <c r="B37" s="41">
        <f>B18</f>
        <v>1399544</v>
      </c>
      <c r="C37" s="42" t="s">
        <v>59</v>
      </c>
    </row>
    <row r="38" spans="1:3" ht="15" customHeight="1" x14ac:dyDescent="0.35">
      <c r="A38" s="22" t="s">
        <v>60</v>
      </c>
      <c r="B38" s="11">
        <f>B37-B36</f>
        <v>-121395</v>
      </c>
      <c r="C38" s="43"/>
    </row>
    <row r="39" spans="1:3" ht="15" customHeight="1" x14ac:dyDescent="0.35">
      <c r="A39" s="22" t="s">
        <v>61</v>
      </c>
      <c r="B39" s="44">
        <f>(B37-B36)/B36</f>
        <v>-7.9815824303275801E-2</v>
      </c>
      <c r="C39" s="43"/>
    </row>
    <row r="41" spans="1:3" ht="18" customHeight="1" x14ac:dyDescent="0.35">
      <c r="A41" s="89" t="s">
        <v>62</v>
      </c>
      <c r="B41" s="89"/>
      <c r="C41" s="89"/>
    </row>
    <row r="42" spans="1:3" ht="39" customHeight="1" x14ac:dyDescent="0.35">
      <c r="A42" s="45" t="s">
        <v>63</v>
      </c>
      <c r="B42" s="88" t="s">
        <v>64</v>
      </c>
      <c r="C42" s="87"/>
    </row>
    <row r="43" spans="1:3" ht="39.75" customHeight="1" x14ac:dyDescent="0.35">
      <c r="A43" s="45" t="s">
        <v>65</v>
      </c>
      <c r="B43" s="87" t="s">
        <v>66</v>
      </c>
      <c r="C43" s="87"/>
    </row>
    <row r="44" spans="1:3" x14ac:dyDescent="0.35">
      <c r="A44" s="45" t="s">
        <v>67</v>
      </c>
      <c r="B44" s="87" t="s">
        <v>68</v>
      </c>
      <c r="C44" s="87"/>
    </row>
    <row r="45" spans="1:3" ht="34.5" customHeight="1" x14ac:dyDescent="0.35">
      <c r="A45" s="45" t="s">
        <v>69</v>
      </c>
      <c r="B45" s="87" t="s">
        <v>70</v>
      </c>
      <c r="C45" s="87"/>
    </row>
    <row r="46" spans="1:3" x14ac:dyDescent="0.35">
      <c r="A46" s="45" t="s">
        <v>71</v>
      </c>
      <c r="B46" s="87" t="s">
        <v>72</v>
      </c>
      <c r="C46" s="87"/>
    </row>
    <row r="47" spans="1:3" ht="39.75" customHeight="1" x14ac:dyDescent="0.35">
      <c r="A47" s="45" t="s">
        <v>73</v>
      </c>
      <c r="B47" s="87" t="s">
        <v>74</v>
      </c>
      <c r="C47" s="87"/>
    </row>
    <row r="48" spans="1:3" ht="35.25" customHeight="1" x14ac:dyDescent="0.35">
      <c r="A48" s="45" t="s">
        <v>75</v>
      </c>
      <c r="B48" s="87" t="s">
        <v>76</v>
      </c>
      <c r="C48" s="87"/>
    </row>
    <row r="49" spans="1:3" ht="36.75" customHeight="1" x14ac:dyDescent="0.35">
      <c r="A49" s="45" t="s">
        <v>77</v>
      </c>
      <c r="B49" s="87" t="s">
        <v>78</v>
      </c>
      <c r="C49" s="87"/>
    </row>
    <row r="50" spans="1:3" ht="49.5" customHeight="1" x14ac:dyDescent="0.3">
      <c r="A50" s="45" t="s">
        <v>79</v>
      </c>
      <c r="B50" s="86" t="s">
        <v>80</v>
      </c>
      <c r="C50" s="86"/>
    </row>
    <row r="51" spans="1:3" ht="55.5" customHeight="1" x14ac:dyDescent="0.35">
      <c r="A51" s="45" t="s">
        <v>81</v>
      </c>
      <c r="B51" s="87" t="s">
        <v>82</v>
      </c>
      <c r="C51" s="87"/>
    </row>
    <row r="52" spans="1:3" ht="49.5" customHeight="1" x14ac:dyDescent="0.35">
      <c r="A52" s="45" t="s">
        <v>83</v>
      </c>
      <c r="B52" s="88" t="s">
        <v>84</v>
      </c>
      <c r="C52" s="87"/>
    </row>
    <row r="53" spans="1:3" x14ac:dyDescent="0.35">
      <c r="A53" s="45" t="s">
        <v>85</v>
      </c>
      <c r="B53" s="87" t="s">
        <v>86</v>
      </c>
      <c r="C53" s="87"/>
    </row>
    <row r="54" spans="1:3" ht="36" customHeight="1" x14ac:dyDescent="0.35">
      <c r="A54" s="45" t="s">
        <v>87</v>
      </c>
      <c r="B54" s="87" t="s">
        <v>88</v>
      </c>
      <c r="C54" s="87"/>
    </row>
  </sheetData>
  <mergeCells count="20">
    <mergeCell ref="A1:C1"/>
    <mergeCell ref="A3:C3"/>
    <mergeCell ref="A13:C13"/>
    <mergeCell ref="A22:C22"/>
    <mergeCell ref="A26:C26"/>
    <mergeCell ref="A34:C34"/>
    <mergeCell ref="A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</mergeCells>
  <pageMargins left="0.75" right="0.75" top="1" bottom="1" header="0.511811023622047" footer="0.511811023622047"/>
  <pageSetup paperSize="9" orientation="portrait" horizontalDpi="300" verticalDpi="300" r:id="rId1"/>
  <headerFooter>
    <oddFooter>&amp;L_x000D_&amp;1#&amp;"Calibri"&amp;10&amp;K000000 DISTRIBUTION: DoW COMMUNITY ONLY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9"/>
  <sheetViews>
    <sheetView topLeftCell="A18" zoomScaleNormal="100" workbookViewId="0">
      <selection activeCell="C20" sqref="C20"/>
    </sheetView>
  </sheetViews>
  <sheetFormatPr defaultColWidth="8.7265625" defaultRowHeight="14.5" x14ac:dyDescent="0.35"/>
  <cols>
    <col min="1" max="1" width="7" style="13" customWidth="1"/>
    <col min="2" max="2" width="10" style="19" customWidth="1"/>
    <col min="3" max="3" width="60" style="13" customWidth="1"/>
    <col min="4" max="5" width="7" style="13" customWidth="1"/>
    <col min="6" max="6" width="16" style="13" customWidth="1"/>
    <col min="7" max="8" width="14" style="13" customWidth="1"/>
    <col min="9" max="9" width="11" style="13" customWidth="1"/>
    <col min="10" max="10" width="88.1796875" style="13" bestFit="1" customWidth="1"/>
    <col min="11" max="16384" width="8.7265625" style="13"/>
  </cols>
  <sheetData>
    <row r="1" spans="1:10" ht="21.75" customHeight="1" x14ac:dyDescent="0.35">
      <c r="A1" s="94" t="s">
        <v>89</v>
      </c>
      <c r="B1" s="94"/>
      <c r="C1" s="94"/>
      <c r="D1" s="94"/>
      <c r="E1" s="94"/>
      <c r="F1" s="94"/>
      <c r="G1" s="94"/>
      <c r="H1" s="94"/>
      <c r="I1" s="94"/>
      <c r="J1" s="94"/>
    </row>
    <row r="2" spans="1:10" ht="15.75" customHeight="1" x14ac:dyDescent="0.35">
      <c r="A2" s="92" t="s">
        <v>90</v>
      </c>
      <c r="B2" s="92"/>
      <c r="C2" s="92"/>
      <c r="D2" s="92"/>
      <c r="E2" s="92"/>
      <c r="F2" s="92"/>
      <c r="G2" s="92"/>
      <c r="H2" s="92"/>
      <c r="I2" s="92"/>
      <c r="J2" s="92"/>
    </row>
    <row r="3" spans="1:10" ht="39" customHeight="1" x14ac:dyDescent="0.35">
      <c r="A3" s="1">
        <v>1</v>
      </c>
      <c r="B3" s="81" t="s">
        <v>91</v>
      </c>
      <c r="C3" s="2" t="s">
        <v>92</v>
      </c>
      <c r="D3" s="3">
        <v>1</v>
      </c>
      <c r="E3" s="3" t="s">
        <v>93</v>
      </c>
      <c r="F3" s="4">
        <v>5000</v>
      </c>
      <c r="G3" s="5">
        <f>D3*F3</f>
        <v>5000</v>
      </c>
      <c r="H3" s="6">
        <f>G3*PARAMETERS!$B$33</f>
        <v>780250</v>
      </c>
      <c r="I3" s="1" t="s">
        <v>42</v>
      </c>
      <c r="J3" s="14" t="s">
        <v>94</v>
      </c>
    </row>
    <row r="4" spans="1:10" ht="37.5" customHeight="1" x14ac:dyDescent="0.35">
      <c r="A4" s="1">
        <v>2</v>
      </c>
      <c r="B4" s="81" t="s">
        <v>91</v>
      </c>
      <c r="C4" s="2" t="s">
        <v>95</v>
      </c>
      <c r="D4" s="3">
        <v>1</v>
      </c>
      <c r="E4" s="3" t="s">
        <v>93</v>
      </c>
      <c r="F4" s="4">
        <v>25000</v>
      </c>
      <c r="G4" s="5">
        <f>D4*F4</f>
        <v>25000</v>
      </c>
      <c r="H4" s="6">
        <f>G4*PARAMETERS!$B$33</f>
        <v>3901250.0000000005</v>
      </c>
      <c r="I4" s="1" t="s">
        <v>42</v>
      </c>
      <c r="J4" s="14" t="s">
        <v>96</v>
      </c>
    </row>
    <row r="5" spans="1:10" ht="15.75" customHeight="1" x14ac:dyDescent="0.35">
      <c r="A5" s="91" t="s">
        <v>97</v>
      </c>
      <c r="B5" s="91"/>
      <c r="C5" s="91"/>
      <c r="D5" s="91"/>
      <c r="E5" s="91"/>
      <c r="F5" s="91"/>
      <c r="G5" s="15">
        <f>SUM(G3:G4)</f>
        <v>30000</v>
      </c>
      <c r="H5" s="16"/>
      <c r="I5" s="16"/>
      <c r="J5" s="16"/>
    </row>
    <row r="6" spans="1:10" ht="15.75" customHeight="1" x14ac:dyDescent="0.35">
      <c r="A6" s="92" t="s">
        <v>98</v>
      </c>
      <c r="B6" s="92"/>
      <c r="C6" s="92"/>
      <c r="D6" s="92"/>
      <c r="E6" s="92"/>
      <c r="F6" s="92"/>
      <c r="G6" s="92"/>
      <c r="H6" s="92"/>
      <c r="I6" s="92"/>
      <c r="J6" s="92"/>
    </row>
    <row r="7" spans="1:10" ht="46.5" customHeight="1" x14ac:dyDescent="0.35">
      <c r="A7" s="7">
        <v>3</v>
      </c>
      <c r="B7" s="82" t="s">
        <v>99</v>
      </c>
      <c r="C7" s="8" t="s">
        <v>100</v>
      </c>
      <c r="D7" s="9">
        <v>1</v>
      </c>
      <c r="E7" s="9" t="s">
        <v>93</v>
      </c>
      <c r="F7" s="10">
        <v>12000</v>
      </c>
      <c r="G7" s="11">
        <f>D7*F7</f>
        <v>12000</v>
      </c>
      <c r="H7" s="12">
        <f>G7*PARAMETERS!$B$33</f>
        <v>1872600.0000000002</v>
      </c>
      <c r="I7" s="7" t="s">
        <v>42</v>
      </c>
      <c r="J7" s="17" t="s">
        <v>101</v>
      </c>
    </row>
    <row r="8" spans="1:10" ht="38.25" customHeight="1" x14ac:dyDescent="0.35">
      <c r="A8" s="7">
        <v>4</v>
      </c>
      <c r="B8" s="82" t="s">
        <v>99</v>
      </c>
      <c r="C8" s="8" t="s">
        <v>102</v>
      </c>
      <c r="D8" s="9">
        <v>1</v>
      </c>
      <c r="E8" s="9" t="s">
        <v>93</v>
      </c>
      <c r="F8" s="10">
        <v>3600</v>
      </c>
      <c r="G8" s="11">
        <f>D8*F8</f>
        <v>3600</v>
      </c>
      <c r="H8" s="12">
        <f>G8*PARAMETERS!$B$33</f>
        <v>561780</v>
      </c>
      <c r="I8" s="7" t="s">
        <v>42</v>
      </c>
      <c r="J8" s="17" t="s">
        <v>103</v>
      </c>
    </row>
    <row r="9" spans="1:10" ht="37.5" customHeight="1" x14ac:dyDescent="0.35">
      <c r="A9" s="7">
        <v>5</v>
      </c>
      <c r="B9" s="82" t="s">
        <v>99</v>
      </c>
      <c r="C9" s="8" t="s">
        <v>104</v>
      </c>
      <c r="D9" s="9">
        <v>1</v>
      </c>
      <c r="E9" s="9" t="s">
        <v>105</v>
      </c>
      <c r="F9" s="10">
        <v>2500</v>
      </c>
      <c r="G9" s="11">
        <f>D9*F9</f>
        <v>2500</v>
      </c>
      <c r="H9" s="12">
        <f>G9*PARAMETERS!$B$33</f>
        <v>390125</v>
      </c>
      <c r="I9" s="7" t="s">
        <v>42</v>
      </c>
      <c r="J9" s="17" t="s">
        <v>106</v>
      </c>
    </row>
    <row r="10" spans="1:10" ht="15.75" customHeight="1" x14ac:dyDescent="0.35">
      <c r="A10" s="91" t="s">
        <v>107</v>
      </c>
      <c r="B10" s="91"/>
      <c r="C10" s="91"/>
      <c r="D10" s="91"/>
      <c r="E10" s="91"/>
      <c r="F10" s="91"/>
      <c r="G10" s="15">
        <f>SUM(G7:G9)</f>
        <v>18100</v>
      </c>
      <c r="H10" s="16"/>
      <c r="I10" s="16"/>
      <c r="J10" s="16"/>
    </row>
    <row r="11" spans="1:10" ht="15.75" customHeight="1" x14ac:dyDescent="0.35">
      <c r="A11" s="92" t="s">
        <v>108</v>
      </c>
      <c r="B11" s="92"/>
      <c r="C11" s="92"/>
      <c r="D11" s="92"/>
      <c r="E11" s="92"/>
      <c r="F11" s="92"/>
      <c r="G11" s="92"/>
      <c r="H11" s="92"/>
      <c r="I11" s="92"/>
      <c r="J11" s="92"/>
    </row>
    <row r="12" spans="1:10" ht="62.25" customHeight="1" x14ac:dyDescent="0.35">
      <c r="A12" s="7">
        <v>6</v>
      </c>
      <c r="B12" s="82" t="s">
        <v>109</v>
      </c>
      <c r="C12" s="8" t="s">
        <v>110</v>
      </c>
      <c r="D12" s="9">
        <v>1</v>
      </c>
      <c r="E12" s="9" t="s">
        <v>105</v>
      </c>
      <c r="F12" s="10">
        <v>4500</v>
      </c>
      <c r="G12" s="11">
        <f>D12*F12</f>
        <v>4500</v>
      </c>
      <c r="H12" s="12">
        <f>G12*PARAMETERS!$B$33</f>
        <v>702225</v>
      </c>
      <c r="I12" s="7" t="s">
        <v>44</v>
      </c>
      <c r="J12" s="17" t="s">
        <v>111</v>
      </c>
    </row>
    <row r="13" spans="1:10" ht="15.75" customHeight="1" x14ac:dyDescent="0.35">
      <c r="A13" s="91" t="s">
        <v>112</v>
      </c>
      <c r="B13" s="91"/>
      <c r="C13" s="91"/>
      <c r="D13" s="91"/>
      <c r="E13" s="91"/>
      <c r="F13" s="91"/>
      <c r="G13" s="15">
        <f>G12</f>
        <v>4500</v>
      </c>
      <c r="H13" s="16"/>
      <c r="I13" s="16"/>
      <c r="J13" s="16"/>
    </row>
    <row r="14" spans="1:10" ht="15.75" customHeight="1" x14ac:dyDescent="0.35">
      <c r="A14" s="92" t="s">
        <v>113</v>
      </c>
      <c r="B14" s="92"/>
      <c r="C14" s="92"/>
      <c r="D14" s="92"/>
      <c r="E14" s="92"/>
      <c r="F14" s="92"/>
      <c r="G14" s="92"/>
      <c r="H14" s="92"/>
      <c r="I14" s="92"/>
      <c r="J14" s="92"/>
    </row>
    <row r="15" spans="1:10" ht="42" customHeight="1" x14ac:dyDescent="0.35">
      <c r="A15" s="7">
        <v>7</v>
      </c>
      <c r="B15" s="82" t="s">
        <v>114</v>
      </c>
      <c r="C15" s="8" t="s">
        <v>115</v>
      </c>
      <c r="D15" s="9">
        <v>1</v>
      </c>
      <c r="E15" s="9" t="s">
        <v>105</v>
      </c>
      <c r="F15" s="10">
        <v>3500</v>
      </c>
      <c r="G15" s="11">
        <f>D15*F15</f>
        <v>3500</v>
      </c>
      <c r="H15" s="12">
        <f>G15*PARAMETERS!$B$33</f>
        <v>546175</v>
      </c>
      <c r="I15" s="7" t="s">
        <v>46</v>
      </c>
      <c r="J15" s="17" t="s">
        <v>116</v>
      </c>
    </row>
    <row r="16" spans="1:10" ht="51" customHeight="1" x14ac:dyDescent="0.35">
      <c r="A16" s="7">
        <v>8</v>
      </c>
      <c r="B16" s="82" t="s">
        <v>114</v>
      </c>
      <c r="C16" s="8" t="s">
        <v>117</v>
      </c>
      <c r="D16" s="9">
        <v>1</v>
      </c>
      <c r="E16" s="9" t="s">
        <v>93</v>
      </c>
      <c r="F16" s="10">
        <v>2000</v>
      </c>
      <c r="G16" s="11">
        <f>D16*F16</f>
        <v>2000</v>
      </c>
      <c r="H16" s="12">
        <f>G16*PARAMETERS!$B$33</f>
        <v>312100</v>
      </c>
      <c r="I16" s="7" t="s">
        <v>46</v>
      </c>
      <c r="J16" s="17" t="s">
        <v>118</v>
      </c>
    </row>
    <row r="17" spans="1:10" ht="39.75" customHeight="1" x14ac:dyDescent="0.35">
      <c r="A17" s="7">
        <v>9</v>
      </c>
      <c r="B17" s="82" t="s">
        <v>114</v>
      </c>
      <c r="C17" s="8" t="s">
        <v>119</v>
      </c>
      <c r="D17" s="9">
        <v>1</v>
      </c>
      <c r="E17" s="9" t="s">
        <v>93</v>
      </c>
      <c r="F17" s="10">
        <v>1500</v>
      </c>
      <c r="G17" s="11">
        <f>D17*F17</f>
        <v>1500</v>
      </c>
      <c r="H17" s="12">
        <f>G17*PARAMETERS!$B$33</f>
        <v>234075.00000000003</v>
      </c>
      <c r="I17" s="7" t="s">
        <v>46</v>
      </c>
      <c r="J17" s="17" t="s">
        <v>120</v>
      </c>
    </row>
    <row r="18" spans="1:10" ht="15.75" customHeight="1" x14ac:dyDescent="0.35">
      <c r="A18" s="91" t="s">
        <v>121</v>
      </c>
      <c r="B18" s="91"/>
      <c r="C18" s="91"/>
      <c r="D18" s="91"/>
      <c r="E18" s="91"/>
      <c r="F18" s="91"/>
      <c r="G18" s="15">
        <f>SUM(G15:G17)</f>
        <v>7000</v>
      </c>
      <c r="H18" s="16"/>
      <c r="I18" s="16"/>
      <c r="J18" s="16"/>
    </row>
    <row r="19" spans="1:10" ht="15.75" customHeight="1" x14ac:dyDescent="0.35">
      <c r="A19" s="92" t="s">
        <v>122</v>
      </c>
      <c r="B19" s="92"/>
      <c r="C19" s="92"/>
      <c r="D19" s="92"/>
      <c r="E19" s="92"/>
      <c r="F19" s="92"/>
      <c r="G19" s="92"/>
      <c r="H19" s="92"/>
      <c r="I19" s="92"/>
      <c r="J19" s="92"/>
    </row>
    <row r="20" spans="1:10" ht="108" customHeight="1" x14ac:dyDescent="0.35">
      <c r="A20" s="1">
        <v>10</v>
      </c>
      <c r="B20" s="81" t="s">
        <v>123</v>
      </c>
      <c r="C20" s="2" t="s">
        <v>124</v>
      </c>
      <c r="D20" s="3">
        <v>1</v>
      </c>
      <c r="E20" s="3" t="s">
        <v>93</v>
      </c>
      <c r="F20" s="4">
        <v>100000</v>
      </c>
      <c r="G20" s="5">
        <f>D20*F20</f>
        <v>100000</v>
      </c>
      <c r="H20" s="6">
        <f>G20*PARAMETERS!$B$33</f>
        <v>15605000.000000002</v>
      </c>
      <c r="I20" s="1" t="s">
        <v>46</v>
      </c>
      <c r="J20" s="14" t="s">
        <v>125</v>
      </c>
    </row>
    <row r="21" spans="1:10" ht="15.75" customHeight="1" x14ac:dyDescent="0.35">
      <c r="A21" s="91" t="s">
        <v>126</v>
      </c>
      <c r="B21" s="91"/>
      <c r="C21" s="91"/>
      <c r="D21" s="91"/>
      <c r="E21" s="91"/>
      <c r="F21" s="91"/>
      <c r="G21" s="15">
        <f>G20</f>
        <v>100000</v>
      </c>
      <c r="H21" s="16"/>
      <c r="I21" s="16"/>
      <c r="J21" s="16"/>
    </row>
    <row r="22" spans="1:10" ht="15.75" customHeight="1" x14ac:dyDescent="0.35">
      <c r="A22" s="92" t="s">
        <v>127</v>
      </c>
      <c r="B22" s="92"/>
      <c r="C22" s="92"/>
      <c r="D22" s="92"/>
      <c r="E22" s="92"/>
      <c r="F22" s="92"/>
      <c r="G22" s="92"/>
      <c r="H22" s="92"/>
      <c r="I22" s="92"/>
      <c r="J22" s="92"/>
    </row>
    <row r="23" spans="1:10" ht="31.5" customHeight="1" x14ac:dyDescent="0.35">
      <c r="A23" s="7">
        <v>11</v>
      </c>
      <c r="B23" s="82" t="s">
        <v>128</v>
      </c>
      <c r="C23" s="8" t="s">
        <v>129</v>
      </c>
      <c r="D23" s="9">
        <v>1</v>
      </c>
      <c r="E23" s="9" t="s">
        <v>93</v>
      </c>
      <c r="F23" s="10">
        <v>5000</v>
      </c>
      <c r="G23" s="11">
        <f>D23*F23</f>
        <v>5000</v>
      </c>
      <c r="H23" s="12">
        <f>G23*PARAMETERS!$B$33</f>
        <v>780250</v>
      </c>
      <c r="I23" s="7" t="s">
        <v>48</v>
      </c>
      <c r="J23" s="17" t="s">
        <v>130</v>
      </c>
    </row>
    <row r="24" spans="1:10" ht="61.5" customHeight="1" x14ac:dyDescent="0.35">
      <c r="A24" s="1">
        <v>12</v>
      </c>
      <c r="B24" s="81" t="s">
        <v>128</v>
      </c>
      <c r="C24" s="84" t="s">
        <v>131</v>
      </c>
      <c r="D24" s="3">
        <v>5590</v>
      </c>
      <c r="E24" s="3" t="s">
        <v>132</v>
      </c>
      <c r="F24" s="4">
        <v>8</v>
      </c>
      <c r="G24" s="5">
        <f>D24*F24</f>
        <v>44720</v>
      </c>
      <c r="H24" s="6">
        <f>G24*PARAMETERS!$B$33</f>
        <v>6978556.0000000009</v>
      </c>
      <c r="I24" s="1" t="s">
        <v>48</v>
      </c>
      <c r="J24" s="14" t="s">
        <v>133</v>
      </c>
    </row>
    <row r="25" spans="1:10" ht="31.5" customHeight="1" x14ac:dyDescent="0.35">
      <c r="A25" s="7">
        <v>13</v>
      </c>
      <c r="B25" s="82" t="s">
        <v>128</v>
      </c>
      <c r="C25" s="8" t="s">
        <v>134</v>
      </c>
      <c r="D25" s="9">
        <v>1</v>
      </c>
      <c r="E25" s="9" t="s">
        <v>93</v>
      </c>
      <c r="F25" s="10">
        <v>3000</v>
      </c>
      <c r="G25" s="11">
        <f>D25*F25</f>
        <v>3000</v>
      </c>
      <c r="H25" s="12">
        <f>G25*PARAMETERS!$B$33</f>
        <v>468150.00000000006</v>
      </c>
      <c r="I25" s="7" t="s">
        <v>48</v>
      </c>
      <c r="J25" s="17" t="s">
        <v>135</v>
      </c>
    </row>
    <row r="26" spans="1:10" ht="31.5" customHeight="1" x14ac:dyDescent="0.35">
      <c r="A26" s="7">
        <v>14</v>
      </c>
      <c r="B26" s="82" t="s">
        <v>128</v>
      </c>
      <c r="C26" s="8" t="s">
        <v>136</v>
      </c>
      <c r="D26" s="9">
        <v>1</v>
      </c>
      <c r="E26" s="9" t="s">
        <v>93</v>
      </c>
      <c r="F26" s="10">
        <v>4000</v>
      </c>
      <c r="G26" s="11">
        <f>D26*F26</f>
        <v>4000</v>
      </c>
      <c r="H26" s="12">
        <f>G26*PARAMETERS!$B$33</f>
        <v>624200</v>
      </c>
      <c r="I26" s="7" t="s">
        <v>48</v>
      </c>
      <c r="J26" s="17" t="s">
        <v>137</v>
      </c>
    </row>
    <row r="27" spans="1:10" ht="31.5" customHeight="1" x14ac:dyDescent="0.35">
      <c r="A27" s="7">
        <v>15</v>
      </c>
      <c r="B27" s="82" t="s">
        <v>128</v>
      </c>
      <c r="C27" s="8" t="s">
        <v>138</v>
      </c>
      <c r="D27" s="9">
        <v>1</v>
      </c>
      <c r="E27" s="9" t="s">
        <v>93</v>
      </c>
      <c r="F27" s="10">
        <v>2000</v>
      </c>
      <c r="G27" s="11">
        <f>D27*F27</f>
        <v>2000</v>
      </c>
      <c r="H27" s="12">
        <f>G27*PARAMETERS!$B$33</f>
        <v>312100</v>
      </c>
      <c r="I27" s="7" t="s">
        <v>48</v>
      </c>
      <c r="J27" s="17" t="s">
        <v>139</v>
      </c>
    </row>
    <row r="28" spans="1:10" ht="15.75" customHeight="1" x14ac:dyDescent="0.35">
      <c r="A28" s="91" t="s">
        <v>140</v>
      </c>
      <c r="B28" s="91"/>
      <c r="C28" s="91"/>
      <c r="D28" s="91"/>
      <c r="E28" s="91"/>
      <c r="F28" s="91"/>
      <c r="G28" s="83">
        <f>SUM(G23:G27)</f>
        <v>58720</v>
      </c>
      <c r="H28" s="16"/>
      <c r="I28" s="16"/>
      <c r="J28" s="16"/>
    </row>
    <row r="29" spans="1:10" ht="15.75" customHeight="1" x14ac:dyDescent="0.35">
      <c r="A29" s="93" t="s">
        <v>141</v>
      </c>
      <c r="B29" s="93"/>
      <c r="C29" s="93"/>
      <c r="D29" s="93"/>
      <c r="E29" s="93"/>
      <c r="F29" s="93"/>
      <c r="G29" s="32">
        <f>SUM(G5,G10,G13,G18,G21,G28)</f>
        <v>218320</v>
      </c>
      <c r="H29" s="18"/>
      <c r="I29" s="18"/>
      <c r="J29" s="18"/>
    </row>
  </sheetData>
  <mergeCells count="14">
    <mergeCell ref="A1:J1"/>
    <mergeCell ref="A2:J2"/>
    <mergeCell ref="A5:F5"/>
    <mergeCell ref="A6:J6"/>
    <mergeCell ref="A10:F10"/>
    <mergeCell ref="A21:F21"/>
    <mergeCell ref="A22:J22"/>
    <mergeCell ref="A28:F28"/>
    <mergeCell ref="A29:F29"/>
    <mergeCell ref="A11:J11"/>
    <mergeCell ref="A13:F13"/>
    <mergeCell ref="A14:J14"/>
    <mergeCell ref="A18:F18"/>
    <mergeCell ref="A19:J19"/>
  </mergeCells>
  <pageMargins left="0.75" right="0.75" top="1" bottom="1" header="0.511811023622047" footer="0.511811023622047"/>
  <pageSetup paperSize="9" orientation="portrait" horizontalDpi="300" verticalDpi="300"/>
  <headerFooter>
    <oddFooter>&amp;L_x000D_&amp;1#&amp;"Calibri"&amp;10&amp;K000000 DISTRIBUTION: DoW COMMUNITY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2"/>
  <sheetViews>
    <sheetView topLeftCell="A21" zoomScaleNormal="100" workbookViewId="0">
      <selection activeCell="D11" sqref="D11"/>
    </sheetView>
  </sheetViews>
  <sheetFormatPr defaultColWidth="8.7265625" defaultRowHeight="14.5" x14ac:dyDescent="0.35"/>
  <cols>
    <col min="1" max="1" width="45" style="13" customWidth="1"/>
    <col min="2" max="2" width="66.26953125" style="19" bestFit="1" customWidth="1"/>
    <col min="3" max="3" width="12" style="19" customWidth="1"/>
    <col min="4" max="4" width="76.54296875" style="13" bestFit="1" customWidth="1"/>
    <col min="5" max="16384" width="8.7265625" style="13"/>
  </cols>
  <sheetData>
    <row r="1" spans="1:4" ht="15.5" x14ac:dyDescent="0.35">
      <c r="A1" s="90" t="s">
        <v>142</v>
      </c>
      <c r="B1" s="90"/>
      <c r="C1" s="90"/>
      <c r="D1" s="90"/>
    </row>
    <row r="3" spans="1:4" ht="15.75" customHeight="1" x14ac:dyDescent="0.35">
      <c r="A3" s="46" t="s">
        <v>143</v>
      </c>
      <c r="B3" s="48"/>
      <c r="C3" s="48"/>
      <c r="D3" s="47"/>
    </row>
    <row r="4" spans="1:4" ht="15" customHeight="1" x14ac:dyDescent="0.35">
      <c r="A4" s="49" t="s">
        <v>144</v>
      </c>
      <c r="B4" s="62" t="s">
        <v>145</v>
      </c>
      <c r="C4" s="50" t="s">
        <v>146</v>
      </c>
      <c r="D4" s="51" t="s">
        <v>147</v>
      </c>
    </row>
    <row r="5" spans="1:4" ht="15" customHeight="1" x14ac:dyDescent="0.35">
      <c r="A5" s="49" t="s">
        <v>148</v>
      </c>
      <c r="B5" s="62" t="s">
        <v>149</v>
      </c>
      <c r="C5" s="50" t="s">
        <v>146</v>
      </c>
      <c r="D5" s="51" t="s">
        <v>150</v>
      </c>
    </row>
    <row r="6" spans="1:4" ht="15" customHeight="1" x14ac:dyDescent="0.35">
      <c r="A6" s="49" t="s">
        <v>151</v>
      </c>
      <c r="B6" s="62" t="s">
        <v>152</v>
      </c>
      <c r="C6" s="50" t="s">
        <v>146</v>
      </c>
      <c r="D6" s="51" t="s">
        <v>153</v>
      </c>
    </row>
    <row r="7" spans="1:4" ht="15" customHeight="1" x14ac:dyDescent="0.35">
      <c r="A7" s="49" t="s">
        <v>154</v>
      </c>
      <c r="B7" s="63">
        <v>387622</v>
      </c>
      <c r="C7" s="50" t="s">
        <v>155</v>
      </c>
      <c r="D7" s="51" t="s">
        <v>156</v>
      </c>
    </row>
    <row r="8" spans="1:4" ht="15" customHeight="1" x14ac:dyDescent="0.35">
      <c r="A8" s="49" t="s">
        <v>157</v>
      </c>
      <c r="B8" s="63" t="s">
        <v>158</v>
      </c>
      <c r="C8" s="50" t="s">
        <v>155</v>
      </c>
      <c r="D8" s="51" t="s">
        <v>159</v>
      </c>
    </row>
    <row r="9" spans="1:4" ht="15" customHeight="1" x14ac:dyDescent="0.35">
      <c r="A9" s="49" t="s">
        <v>160</v>
      </c>
      <c r="B9" s="63" t="s">
        <v>161</v>
      </c>
      <c r="C9" s="50" t="s">
        <v>162</v>
      </c>
      <c r="D9" s="51" t="s">
        <v>163</v>
      </c>
    </row>
    <row r="10" spans="1:4" ht="15" customHeight="1" x14ac:dyDescent="0.35">
      <c r="A10" s="49" t="s">
        <v>164</v>
      </c>
      <c r="B10" s="62" t="s">
        <v>165</v>
      </c>
      <c r="C10" s="50" t="s">
        <v>166</v>
      </c>
      <c r="D10" s="51" t="s">
        <v>167</v>
      </c>
    </row>
    <row r="11" spans="1:4" ht="15" customHeight="1" x14ac:dyDescent="0.35">
      <c r="A11" s="49" t="s">
        <v>168</v>
      </c>
      <c r="B11" s="62" t="s">
        <v>169</v>
      </c>
      <c r="C11" s="50" t="s">
        <v>170</v>
      </c>
      <c r="D11" s="51" t="s">
        <v>171</v>
      </c>
    </row>
    <row r="12" spans="1:4" ht="15" customHeight="1" x14ac:dyDescent="0.35">
      <c r="A12" s="49" t="s">
        <v>172</v>
      </c>
      <c r="B12" s="62" t="s">
        <v>173</v>
      </c>
      <c r="C12" s="50" t="s">
        <v>174</v>
      </c>
      <c r="D12" s="51" t="s">
        <v>175</v>
      </c>
    </row>
    <row r="14" spans="1:4" ht="15.75" customHeight="1" x14ac:dyDescent="0.35">
      <c r="A14" s="46" t="s">
        <v>176</v>
      </c>
      <c r="B14" s="48"/>
      <c r="C14" s="48"/>
      <c r="D14" s="47"/>
    </row>
    <row r="15" spans="1:4" ht="13.5" customHeight="1" x14ac:dyDescent="0.35">
      <c r="A15" s="20" t="s">
        <v>177</v>
      </c>
      <c r="B15" s="21" t="s">
        <v>178</v>
      </c>
      <c r="C15" s="21" t="s">
        <v>179</v>
      </c>
      <c r="D15" s="20" t="s">
        <v>180</v>
      </c>
    </row>
    <row r="16" spans="1:4" ht="15" customHeight="1" x14ac:dyDescent="0.35">
      <c r="A16" s="49" t="s">
        <v>181</v>
      </c>
      <c r="B16" s="63">
        <v>2024</v>
      </c>
      <c r="C16" s="50" t="s">
        <v>182</v>
      </c>
      <c r="D16" s="51" t="s">
        <v>183</v>
      </c>
    </row>
    <row r="17" spans="1:4" ht="15" customHeight="1" x14ac:dyDescent="0.35">
      <c r="A17" s="49" t="s">
        <v>184</v>
      </c>
      <c r="B17" s="63">
        <v>2027</v>
      </c>
      <c r="C17" s="50" t="s">
        <v>182</v>
      </c>
      <c r="D17" s="51" t="s">
        <v>185</v>
      </c>
    </row>
    <row r="18" spans="1:4" ht="15" customHeight="1" x14ac:dyDescent="0.35">
      <c r="A18" s="49" t="s">
        <v>186</v>
      </c>
      <c r="B18" s="63">
        <v>1.85</v>
      </c>
      <c r="C18" s="50" t="s">
        <v>187</v>
      </c>
      <c r="D18" s="51" t="s">
        <v>188</v>
      </c>
    </row>
    <row r="19" spans="1:4" ht="15" customHeight="1" x14ac:dyDescent="0.35">
      <c r="A19" s="49" t="s">
        <v>189</v>
      </c>
      <c r="B19" s="64">
        <v>2.1000000000000001E-2</v>
      </c>
      <c r="C19" s="50" t="s">
        <v>190</v>
      </c>
      <c r="D19" s="51" t="s">
        <v>191</v>
      </c>
    </row>
    <row r="20" spans="1:4" ht="15" customHeight="1" x14ac:dyDescent="0.35">
      <c r="A20" s="49" t="s">
        <v>192</v>
      </c>
      <c r="B20" s="63">
        <v>3</v>
      </c>
      <c r="C20" s="50" t="s">
        <v>193</v>
      </c>
      <c r="D20" s="51" t="s">
        <v>194</v>
      </c>
    </row>
    <row r="21" spans="1:4" ht="15" customHeight="1" x14ac:dyDescent="0.35">
      <c r="A21" s="49" t="s">
        <v>195</v>
      </c>
      <c r="B21" s="65">
        <f>(1+B19)^B20</f>
        <v>1.0643322609999997</v>
      </c>
      <c r="C21" s="50" t="s">
        <v>196</v>
      </c>
      <c r="D21" s="51" t="s">
        <v>197</v>
      </c>
    </row>
    <row r="22" spans="1:4" ht="15" customHeight="1" x14ac:dyDescent="0.35">
      <c r="A22" s="49" t="s">
        <v>198</v>
      </c>
      <c r="B22" s="64">
        <v>0.1</v>
      </c>
      <c r="C22" s="50" t="s">
        <v>190</v>
      </c>
      <c r="D22" s="51" t="s">
        <v>199</v>
      </c>
    </row>
    <row r="23" spans="1:4" ht="15" customHeight="1" x14ac:dyDescent="0.35">
      <c r="A23" s="49" t="s">
        <v>200</v>
      </c>
      <c r="B23" s="64">
        <v>0.1</v>
      </c>
      <c r="C23" s="50" t="s">
        <v>190</v>
      </c>
      <c r="D23" s="51" t="s">
        <v>201</v>
      </c>
    </row>
    <row r="24" spans="1:4" ht="15" customHeight="1" x14ac:dyDescent="0.35">
      <c r="A24" s="49" t="s">
        <v>202</v>
      </c>
      <c r="B24" s="64">
        <v>2.5000000000000001E-2</v>
      </c>
      <c r="C24" s="50" t="s">
        <v>190</v>
      </c>
      <c r="D24" s="51" t="s">
        <v>203</v>
      </c>
    </row>
    <row r="25" spans="1:4" ht="15" customHeight="1" x14ac:dyDescent="0.35">
      <c r="A25" s="49" t="s">
        <v>204</v>
      </c>
      <c r="B25" s="64">
        <v>0.06</v>
      </c>
      <c r="C25" s="50" t="s">
        <v>190</v>
      </c>
      <c r="D25" s="51" t="s">
        <v>205</v>
      </c>
    </row>
    <row r="26" spans="1:4" ht="15" customHeight="1" x14ac:dyDescent="0.35">
      <c r="A26" s="49" t="s">
        <v>206</v>
      </c>
      <c r="B26" s="64">
        <v>0.08</v>
      </c>
      <c r="C26" s="50" t="s">
        <v>190</v>
      </c>
      <c r="D26" s="51" t="s">
        <v>207</v>
      </c>
    </row>
    <row r="27" spans="1:4" ht="15" customHeight="1" x14ac:dyDescent="0.35">
      <c r="A27" s="49" t="s">
        <v>208</v>
      </c>
      <c r="B27" s="64">
        <v>0.04</v>
      </c>
      <c r="C27" s="50" t="s">
        <v>190</v>
      </c>
      <c r="D27" s="51" t="s">
        <v>209</v>
      </c>
    </row>
    <row r="28" spans="1:4" ht="15" customHeight="1" x14ac:dyDescent="0.35">
      <c r="A28" s="49" t="s">
        <v>210</v>
      </c>
      <c r="B28" s="64">
        <v>0.04</v>
      </c>
      <c r="C28" s="50" t="s">
        <v>190</v>
      </c>
      <c r="D28" s="51" t="s">
        <v>211</v>
      </c>
    </row>
    <row r="29" spans="1:4" ht="15" customHeight="1" x14ac:dyDescent="0.35">
      <c r="A29" s="49" t="s">
        <v>212</v>
      </c>
      <c r="B29" s="63">
        <v>30973</v>
      </c>
      <c r="C29" s="50" t="s">
        <v>132</v>
      </c>
      <c r="D29" s="51" t="s">
        <v>213</v>
      </c>
    </row>
    <row r="31" spans="1:4" ht="15.75" customHeight="1" x14ac:dyDescent="0.35">
      <c r="A31" s="46" t="s">
        <v>214</v>
      </c>
      <c r="B31" s="48"/>
      <c r="C31" s="48"/>
      <c r="D31" s="47"/>
    </row>
    <row r="32" spans="1:4" ht="13.5" customHeight="1" x14ac:dyDescent="0.35">
      <c r="A32" s="20" t="s">
        <v>177</v>
      </c>
      <c r="B32" s="21" t="s">
        <v>178</v>
      </c>
      <c r="C32" s="21" t="s">
        <v>179</v>
      </c>
      <c r="D32" s="20" t="s">
        <v>180</v>
      </c>
    </row>
    <row r="33" spans="1:4" ht="15" customHeight="1" x14ac:dyDescent="0.35">
      <c r="A33" s="52" t="s">
        <v>215</v>
      </c>
      <c r="B33" s="66">
        <v>156.05000000000001</v>
      </c>
      <c r="C33" s="53" t="s">
        <v>216</v>
      </c>
      <c r="D33" s="52" t="s">
        <v>217</v>
      </c>
    </row>
    <row r="35" spans="1:4" ht="15.75" customHeight="1" x14ac:dyDescent="0.35">
      <c r="A35" s="46" t="s">
        <v>218</v>
      </c>
      <c r="B35" s="48"/>
      <c r="C35" s="48"/>
      <c r="D35" s="47"/>
    </row>
    <row r="36" spans="1:4" ht="13.5" customHeight="1" x14ac:dyDescent="0.35">
      <c r="A36" s="20" t="s">
        <v>177</v>
      </c>
      <c r="B36" s="21" t="s">
        <v>178</v>
      </c>
      <c r="C36" s="21" t="s">
        <v>179</v>
      </c>
      <c r="D36" s="20" t="s">
        <v>180</v>
      </c>
    </row>
    <row r="37" spans="1:4" ht="15" customHeight="1" x14ac:dyDescent="0.35">
      <c r="A37" s="49" t="s">
        <v>219</v>
      </c>
      <c r="B37" s="63">
        <v>51473</v>
      </c>
      <c r="C37" s="50" t="s">
        <v>155</v>
      </c>
      <c r="D37" s="51" t="s">
        <v>220</v>
      </c>
    </row>
    <row r="38" spans="1:4" ht="15" customHeight="1" x14ac:dyDescent="0.35">
      <c r="A38" s="54" t="s">
        <v>221</v>
      </c>
      <c r="B38" s="67">
        <v>26636215</v>
      </c>
      <c r="C38" s="55" t="s">
        <v>222</v>
      </c>
      <c r="D38" s="56" t="s">
        <v>223</v>
      </c>
    </row>
    <row r="39" spans="1:4" ht="15" customHeight="1" x14ac:dyDescent="0.35">
      <c r="A39" s="49" t="s">
        <v>224</v>
      </c>
      <c r="B39" s="68">
        <f>B38/B29/B18</f>
        <v>464.85500448952484</v>
      </c>
      <c r="C39" s="50" t="s">
        <v>225</v>
      </c>
      <c r="D39" s="51" t="s">
        <v>226</v>
      </c>
    </row>
    <row r="40" spans="1:4" ht="15" customHeight="1" x14ac:dyDescent="0.35">
      <c r="A40" s="30" t="s">
        <v>227</v>
      </c>
      <c r="B40" s="69">
        <f>ROUND(B38*B24,0)</f>
        <v>665905</v>
      </c>
      <c r="C40" s="57" t="s">
        <v>222</v>
      </c>
      <c r="D40" s="58" t="s">
        <v>228</v>
      </c>
    </row>
    <row r="42" spans="1:4" ht="19.5" customHeight="1" x14ac:dyDescent="0.35">
      <c r="A42" s="59" t="s">
        <v>229</v>
      </c>
      <c r="B42" s="61"/>
      <c r="C42" s="61"/>
      <c r="D42" s="60"/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  <headerFooter>
    <oddFooter>&amp;L_x000D_&amp;1#&amp;"Calibri"&amp;10&amp;K000000 DISTRIBUTION: DoW COMMUNITY ONLY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32"/>
  <sheetViews>
    <sheetView topLeftCell="A11" zoomScale="120" zoomScaleNormal="120" workbookViewId="0">
      <selection activeCell="A8" sqref="A8"/>
    </sheetView>
  </sheetViews>
  <sheetFormatPr defaultColWidth="8.7265625" defaultRowHeight="14.5" x14ac:dyDescent="0.35"/>
  <cols>
    <col min="1" max="1" width="82" style="13" customWidth="1"/>
    <col min="2" max="2" width="18" style="19" customWidth="1"/>
    <col min="3" max="3" width="81.7265625" style="13" bestFit="1" customWidth="1"/>
    <col min="4" max="16384" width="8.7265625" style="13"/>
  </cols>
  <sheetData>
    <row r="1" spans="1:3" ht="21.75" customHeight="1" x14ac:dyDescent="0.35">
      <c r="A1" s="95" t="s">
        <v>230</v>
      </c>
      <c r="B1" s="95"/>
      <c r="C1" s="95"/>
    </row>
    <row r="2" spans="1:3" x14ac:dyDescent="0.35">
      <c r="A2" s="24" t="s">
        <v>231</v>
      </c>
      <c r="B2" s="70"/>
      <c r="C2" s="43"/>
    </row>
    <row r="3" spans="1:3" ht="15.75" customHeight="1" x14ac:dyDescent="0.35">
      <c r="A3" s="71" t="s">
        <v>232</v>
      </c>
      <c r="B3" s="72" t="s">
        <v>233</v>
      </c>
      <c r="C3" s="71" t="s">
        <v>234</v>
      </c>
    </row>
    <row r="4" spans="1:3" ht="24" customHeight="1" x14ac:dyDescent="0.35">
      <c r="A4" s="22" t="s">
        <v>235</v>
      </c>
      <c r="B4" s="73">
        <f>SCOPE_DETAIL!G5*PARAMETERS!$B$18*PARAMETERS!$B$21*(1+PARAMETERS!$B$22)/1000</f>
        <v>64.977484534049978</v>
      </c>
      <c r="C4" s="24" t="s">
        <v>236</v>
      </c>
    </row>
    <row r="5" spans="1:3" ht="24" customHeight="1" x14ac:dyDescent="0.35">
      <c r="A5" s="22" t="s">
        <v>237</v>
      </c>
      <c r="B5" s="73">
        <f>SCOPE_DETAIL!G10*PARAMETERS!$B$18*PARAMETERS!$B$21*(1+PARAMETERS!$B$22)/1000</f>
        <v>39.203082335543492</v>
      </c>
      <c r="C5" s="24" t="s">
        <v>238</v>
      </c>
    </row>
    <row r="6" spans="1:3" ht="24" customHeight="1" x14ac:dyDescent="0.35">
      <c r="A6" s="22" t="s">
        <v>239</v>
      </c>
      <c r="B6" s="73">
        <f>SCOPE_DETAIL!G13*PARAMETERS!$B$18*PARAMETERS!$B$21*(1+PARAMETERS!$B$22)/1000</f>
        <v>9.7466226801074978</v>
      </c>
      <c r="C6" s="24" t="s">
        <v>240</v>
      </c>
    </row>
    <row r="7" spans="1:3" ht="24" customHeight="1" x14ac:dyDescent="0.35">
      <c r="A7" s="22" t="s">
        <v>241</v>
      </c>
      <c r="B7" s="73">
        <f>SCOPE_DETAIL!G18*PARAMETERS!$B$18*PARAMETERS!$B$21*(1+PARAMETERS!$B$22)/1000</f>
        <v>15.161413057944996</v>
      </c>
      <c r="C7" s="24" t="s">
        <v>242</v>
      </c>
    </row>
    <row r="8" spans="1:3" ht="24" customHeight="1" x14ac:dyDescent="0.35">
      <c r="A8" s="22" t="s">
        <v>243</v>
      </c>
      <c r="B8" s="73">
        <f>SCOPE_DETAIL!G21*PARAMETERS!$B$18*PARAMETERS!$B$21*(1+PARAMETERS!$B$22)/1000</f>
        <v>216.59161511349996</v>
      </c>
      <c r="C8" s="24" t="s">
        <v>244</v>
      </c>
    </row>
    <row r="9" spans="1:3" ht="24" customHeight="1" x14ac:dyDescent="0.35">
      <c r="A9" s="22" t="s">
        <v>245</v>
      </c>
      <c r="B9" s="73">
        <f>SCOPE_DETAIL!G28*PARAMETERS!$B$18*PARAMETERS!$B$21*(1+PARAMETERS!$B$22)/1000</f>
        <v>127.18259639464716</v>
      </c>
      <c r="C9" s="24" t="s">
        <v>246</v>
      </c>
    </row>
    <row r="10" spans="1:3" ht="15.75" customHeight="1" x14ac:dyDescent="0.35">
      <c r="A10" s="36" t="s">
        <v>247</v>
      </c>
      <c r="B10" s="74">
        <f>SUM(B4:B9)</f>
        <v>472.86281411579307</v>
      </c>
      <c r="C10" s="75" t="s">
        <v>248</v>
      </c>
    </row>
    <row r="11" spans="1:3" ht="15.75" customHeight="1" x14ac:dyDescent="0.35">
      <c r="A11" s="22" t="s">
        <v>249</v>
      </c>
      <c r="B11" s="76">
        <f>B10*PARAMETERS!B23</f>
        <v>47.28628141157931</v>
      </c>
      <c r="C11" s="24" t="s">
        <v>250</v>
      </c>
    </row>
    <row r="12" spans="1:3" ht="15.75" customHeight="1" x14ac:dyDescent="0.35">
      <c r="A12" s="22" t="s">
        <v>251</v>
      </c>
      <c r="B12" s="76">
        <f>PARAMETERS!B40/1000</f>
        <v>665.90499999999997</v>
      </c>
      <c r="C12" s="24" t="s">
        <v>252</v>
      </c>
    </row>
    <row r="13" spans="1:3" ht="15.75" customHeight="1" x14ac:dyDescent="0.35">
      <c r="A13" s="22" t="s">
        <v>253</v>
      </c>
      <c r="B13" s="76">
        <f>ESTIMATE!B15/1000</f>
        <v>71.163239999999988</v>
      </c>
      <c r="C13" s="24" t="s">
        <v>254</v>
      </c>
    </row>
    <row r="14" spans="1:3" ht="15.75" customHeight="1" x14ac:dyDescent="0.35">
      <c r="A14" s="22" t="s">
        <v>255</v>
      </c>
      <c r="B14" s="76">
        <f>ESTIMATE!B16/1000</f>
        <v>94.884320000000002</v>
      </c>
      <c r="C14" s="24" t="s">
        <v>256</v>
      </c>
    </row>
    <row r="15" spans="1:3" ht="15.75" customHeight="1" x14ac:dyDescent="0.35">
      <c r="A15" s="22" t="s">
        <v>257</v>
      </c>
      <c r="B15" s="76">
        <f>ESTIMATE!B17/1000</f>
        <v>47.442160000000001</v>
      </c>
      <c r="C15" s="24" t="s">
        <v>258</v>
      </c>
    </row>
    <row r="16" spans="1:3" ht="18" customHeight="1" x14ac:dyDescent="0.35">
      <c r="A16" s="31" t="s">
        <v>26</v>
      </c>
      <c r="B16" s="77">
        <f>ESTIMATE!B18/1000</f>
        <v>1399.5440000000001</v>
      </c>
      <c r="C16" s="33" t="s">
        <v>259</v>
      </c>
    </row>
    <row r="17" spans="1:3" ht="13.5" customHeight="1" x14ac:dyDescent="0.35">
      <c r="A17" s="22" t="s">
        <v>260</v>
      </c>
      <c r="B17" s="73">
        <f>B16</f>
        <v>1399.5440000000001</v>
      </c>
      <c r="C17" s="24" t="s">
        <v>261</v>
      </c>
    </row>
    <row r="18" spans="1:3" ht="13.5" customHeight="1" x14ac:dyDescent="0.35">
      <c r="A18" s="22" t="s">
        <v>262</v>
      </c>
      <c r="B18" s="73">
        <f>B16</f>
        <v>1399.5440000000001</v>
      </c>
      <c r="C18" s="24" t="s">
        <v>263</v>
      </c>
    </row>
    <row r="19" spans="1:3" ht="15.75" customHeight="1" x14ac:dyDescent="0.35">
      <c r="A19" s="22" t="s">
        <v>264</v>
      </c>
      <c r="B19" s="76">
        <f>ESTIMATE!B19/1000</f>
        <v>55.981760000000001</v>
      </c>
      <c r="C19" s="24" t="s">
        <v>265</v>
      </c>
    </row>
    <row r="20" spans="1:3" ht="18" customHeight="1" x14ac:dyDescent="0.35">
      <c r="A20" s="34" t="s">
        <v>30</v>
      </c>
      <c r="B20" s="78">
        <f>ESTIMATE!B20/1000</f>
        <v>1455.52576</v>
      </c>
      <c r="C20" s="36" t="s">
        <v>31</v>
      </c>
    </row>
    <row r="21" spans="1:3" ht="13.5" customHeight="1" x14ac:dyDescent="0.35">
      <c r="A21" s="22" t="s">
        <v>266</v>
      </c>
      <c r="B21" s="73">
        <v>0</v>
      </c>
      <c r="C21" s="24" t="s">
        <v>267</v>
      </c>
    </row>
    <row r="23" spans="1:3" ht="15.75" customHeight="1" x14ac:dyDescent="0.35">
      <c r="A23" s="79" t="s">
        <v>268</v>
      </c>
      <c r="B23" s="48"/>
      <c r="C23" s="47"/>
    </row>
    <row r="24" spans="1:3" ht="13.5" customHeight="1" x14ac:dyDescent="0.35">
      <c r="A24" s="49" t="s">
        <v>269</v>
      </c>
      <c r="B24" s="80"/>
      <c r="C24" s="51" t="s">
        <v>270</v>
      </c>
    </row>
    <row r="25" spans="1:3" ht="13.5" customHeight="1" x14ac:dyDescent="0.35">
      <c r="A25" s="49" t="s">
        <v>271</v>
      </c>
      <c r="B25" s="80"/>
      <c r="C25" s="51" t="s">
        <v>272</v>
      </c>
    </row>
    <row r="26" spans="1:3" ht="13.5" customHeight="1" x14ac:dyDescent="0.35">
      <c r="A26" s="49" t="s">
        <v>273</v>
      </c>
      <c r="B26" s="80"/>
      <c r="C26" s="51" t="s">
        <v>274</v>
      </c>
    </row>
    <row r="27" spans="1:3" ht="13.5" customHeight="1" x14ac:dyDescent="0.35">
      <c r="A27" s="49" t="s">
        <v>275</v>
      </c>
      <c r="B27" s="80"/>
      <c r="C27" s="51" t="s">
        <v>276</v>
      </c>
    </row>
    <row r="28" spans="1:3" ht="13.5" customHeight="1" x14ac:dyDescent="0.35">
      <c r="A28" s="49" t="s">
        <v>277</v>
      </c>
      <c r="B28" s="80"/>
      <c r="C28" s="51" t="s">
        <v>278</v>
      </c>
    </row>
    <row r="29" spans="1:3" ht="13.5" customHeight="1" x14ac:dyDescent="0.35">
      <c r="A29" s="49" t="s">
        <v>279</v>
      </c>
      <c r="B29" s="80"/>
      <c r="C29" s="51" t="s">
        <v>280</v>
      </c>
    </row>
    <row r="30" spans="1:3" ht="13.5" customHeight="1" x14ac:dyDescent="0.35">
      <c r="A30" s="49" t="s">
        <v>281</v>
      </c>
      <c r="B30" s="80"/>
      <c r="C30" s="51" t="s">
        <v>282</v>
      </c>
    </row>
    <row r="31" spans="1:3" ht="13.5" customHeight="1" x14ac:dyDescent="0.35">
      <c r="A31" s="49" t="s">
        <v>283</v>
      </c>
      <c r="B31" s="80"/>
      <c r="C31" s="51" t="s">
        <v>284</v>
      </c>
    </row>
    <row r="32" spans="1:3" ht="13.5" customHeight="1" x14ac:dyDescent="0.35">
      <c r="A32" s="49" t="s">
        <v>285</v>
      </c>
      <c r="B32" s="80"/>
      <c r="C32" s="51" t="s">
        <v>286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  <headerFooter>
    <oddFooter>&amp;L_x000D_&amp;1#&amp;"Calibri"&amp;10&amp;K000000 DISTRIBUTION: DoW COMMUNITY ONLY</oddFooter>
  </headerFooter>
</worksheet>
</file>

<file path=docMetadata/LabelInfo.xml><?xml version="1.0" encoding="utf-8"?>
<clbl:labelList xmlns:clbl="http://schemas.microsoft.com/office/2020/mipLabelMetadata">
  <clbl:label id="{89f80511-b267-4892-be9d-6cc8d3fffe7e}" enabled="1" method="Standard" siteId="{f4c44cda-18c6-46b0-80f2-e290072444f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ESTIMATE</vt:lpstr>
      <vt:lpstr>SCOPE_DETAIL</vt:lpstr>
      <vt:lpstr>PARAMETERS</vt:lpstr>
      <vt:lpstr>DD1391_BLOCK9</vt:lpstr>
    </vt:vector>
  </TitlesOfParts>
  <Manager>Anthony L. Potter</Manager>
  <Company>Booz Allen Hamilton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SCH-3237 Level 3 CWE ROM</dc:title>
  <dc:subject>DD Form 1391 Block 9 ROM Cost Estimate</dc:subject>
  <dc:creator>Anthony L. Potter</dc:creator>
  <cp:keywords/>
  <dc:description>Level 3 ROM Cost Estimate - SCH-3237 Warehouse/Armory Camp Schwab</dc:description>
  <cp:lastModifiedBy>Potter CTR Anthony L</cp:lastModifiedBy>
  <cp:revision>0</cp:revision>
  <dcterms:created xsi:type="dcterms:W3CDTF">2026-03-09T05:33:07Z</dcterms:created>
  <dcterms:modified xsi:type="dcterms:W3CDTF">2026-03-20T22:41:41Z</dcterms:modified>
  <cp:category/>
  <cp:contentStatus/>
</cp:coreProperties>
</file>