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SCH-3270  |  ROM COST ESTIMATE  |  LEVEL 3  |  FY27  |  PAX ID 387568  |  Fi Web BU26PPE74M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C8*PARAMETERS!B37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Equals Locked TPC / 1.23552</t>
        </is>
      </c>
    </row>
    <row r="12">
      <c r="A12" s="2" t="inlineStr">
        <is>
          <t>B.  PAX ROLLUP VERIFICATION  (mirrors what PAX prints on the form)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</t>
        </is>
      </c>
    </row>
    <row r="15">
      <c r="B15" s="8" t="inlineStr">
        <is>
          <t>+ Contingency (10.0%)  PAX-applied</t>
        </is>
      </c>
      <c r="C15" s="6">
        <f>C10*0.10</f>
        <v/>
      </c>
      <c r="D15" s="5" t="inlineStr">
        <is>
          <t>FSRM program-directed</t>
        </is>
      </c>
    </row>
    <row r="16">
      <c r="B16" s="8" t="inlineStr">
        <is>
          <t>Total Contract Cost</t>
        </is>
      </c>
      <c r="C16" s="6">
        <f>C10*1.10</f>
        <v/>
      </c>
      <c r="D16" s="5" t="inlineStr">
        <is>
          <t>Items Subtotal x 1.10</t>
        </is>
      </c>
    </row>
    <row r="17">
      <c r="B17" s="8" t="inlineStr">
        <is>
          <t>+ SIOH (8.0%)  PAX-applied</t>
        </is>
      </c>
      <c r="C17" s="6">
        <f>C10*1.10*0.08</f>
        <v/>
      </c>
      <c r="D17" s="5" t="inlineStr">
        <is>
          <t>OCONUS FSRM customer-directed</t>
        </is>
      </c>
    </row>
    <row r="18">
      <c r="B18" s="8" t="inlineStr">
        <is>
          <t>Total Funded Cost</t>
        </is>
      </c>
      <c r="C18" s="6">
        <f>C10*1.10*1.08</f>
        <v/>
      </c>
      <c r="D18" s="5" t="inlineStr">
        <is>
          <t>Total Contract Cost x 1.08</t>
        </is>
      </c>
    </row>
    <row r="19">
      <c r="B19" s="8" t="inlineStr">
        <is>
          <t>+ DB Design (4.0%)  PAX-applied</t>
        </is>
      </c>
      <c r="C19" s="6">
        <f>C10*1.10*1.08*0.04</f>
        <v/>
      </c>
      <c r="D19" s="5" t="inlineStr">
        <is>
          <t>UFC 3-730-01 (2024)</t>
        </is>
      </c>
    </row>
    <row r="20">
      <c r="B20" s="8" t="inlineStr">
        <is>
          <t>TOTAL PROJECT COST</t>
        </is>
      </c>
      <c r="C20" s="6">
        <f>C10*1.23552</f>
        <v/>
      </c>
      <c r="D20" s="5" t="inlineStr">
        <is>
          <t>Total Funded Cost x 1.04</t>
        </is>
      </c>
    </row>
    <row r="21">
      <c r="B21" s="8" t="inlineStr">
        <is>
          <t>TOTAL PROJECT COST ($000 rounded)</t>
        </is>
      </c>
      <c r="C21" s="6">
        <f>ROUND(C20/1000,0)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C10*0.06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B20</t>
        </is>
      </c>
      <c r="B28" s="5" t="inlineStr">
        <is>
          <t>Exterior Enclosure</t>
        </is>
      </c>
      <c r="C28" s="6">
        <f>SUMIF(SCOPE_DETAIL!H:H,"B20",SCOPE_DETAIL!G:G)</f>
        <v/>
      </c>
      <c r="D28" s="5" t="inlineStr">
        <is>
          <t>1 scope item(s)</t>
        </is>
      </c>
    </row>
    <row r="29">
      <c r="A29" s="10" t="inlineStr">
        <is>
          <t>C10</t>
        </is>
      </c>
      <c r="B29" s="5" t="inlineStr">
        <is>
          <t>Interior Construction</t>
        </is>
      </c>
      <c r="C29" s="6">
        <f>SUMIF(SCOPE_DETAIL!H:H,"C10",SCOPE_DETAIL!G:G)</f>
        <v/>
      </c>
      <c r="D29" s="5" t="inlineStr">
        <is>
          <t>3 scope item(s)</t>
        </is>
      </c>
    </row>
    <row r="30">
      <c r="A30" s="10" t="inlineStr">
        <is>
          <t>C30</t>
        </is>
      </c>
      <c r="B30" s="5" t="inlineStr">
        <is>
          <t>Interior Finishes</t>
        </is>
      </c>
      <c r="C30" s="6">
        <f>SUMIF(SCOPE_DETAIL!H:H,"C30",SCOPE_DETAIL!G:G)</f>
        <v/>
      </c>
      <c r="D30" s="5" t="inlineStr">
        <is>
          <t>1 scope item(s)</t>
        </is>
      </c>
    </row>
    <row r="31">
      <c r="A31" s="10" t="inlineStr">
        <is>
          <t>D20</t>
        </is>
      </c>
      <c r="B31" s="5" t="inlineStr">
        <is>
          <t>Plumbing</t>
        </is>
      </c>
      <c r="C31" s="6">
        <f>SUMIF(SCOPE_DETAIL!H:H,"D20",SCOPE_DETAIL!G:G)</f>
        <v/>
      </c>
      <c r="D31" s="5" t="inlineStr">
        <is>
          <t>2 scope item(s)</t>
        </is>
      </c>
    </row>
    <row r="32">
      <c r="A32" s="10" t="inlineStr">
        <is>
          <t>D30</t>
        </is>
      </c>
      <c r="B32" s="5" t="inlineStr">
        <is>
          <t>HVAC / Mechanical</t>
        </is>
      </c>
      <c r="C32" s="6">
        <f>SUMIF(SCOPE_DETAIL!H:H,"D30",SCOPE_DETAIL!G:G)</f>
        <v/>
      </c>
      <c r="D32" s="5" t="inlineStr">
        <is>
          <t>26 scope item(s)</t>
        </is>
      </c>
    </row>
    <row r="33">
      <c r="A33" s="10" t="inlineStr">
        <is>
          <t>D50</t>
        </is>
      </c>
      <c r="B33" s="5" t="inlineStr">
        <is>
          <t>Electrical / Communications</t>
        </is>
      </c>
      <c r="C33" s="6">
        <f>SUMIF(SCOPE_DETAIL!H:H,"D50",SCOPE_DETAIL!G:G)</f>
        <v/>
      </c>
      <c r="D33" s="5" t="inlineStr">
        <is>
          <t>9 scope item(s)</t>
        </is>
      </c>
    </row>
    <row r="34">
      <c r="A34" s="5" t="inlineStr"/>
      <c r="B34" s="7" t="inlineStr">
        <is>
          <t>TOTAL BASE DIRECT (must equal Section A row 5)</t>
        </is>
      </c>
      <c r="C34" s="6">
        <f>SUM(C28:C33)</f>
        <v/>
      </c>
    </row>
    <row r="36">
      <c r="A36" s="2" t="inlineStr">
        <is>
          <t>D.  METHODOLOGY</t>
        </is>
      </c>
    </row>
    <row r="37" ht="18" customHeight="1">
      <c r="A37" s="8" t="inlineStr">
        <is>
          <t>Estimate Level</t>
        </is>
      </c>
      <c r="B37" s="5" t="inlineStr">
        <is>
          <t>Level 3 ROM per UFS 3-740-05 (02 Feb 2026). Non-mandatory supplement; for information only.</t>
        </is>
      </c>
    </row>
    <row r="38" ht="18" customHeight="1">
      <c r="A38" s="8" t="inlineStr">
        <is>
          <t>Scope Basis</t>
        </is>
      </c>
      <c r="B38" s="5" t="inlineStr">
        <is>
          <t>42 discrete work items across 6 UNIFORMAT II Lv2 categories. Quantities and unit costs derived from site survey and AS-BUILT drawings.</t>
        </is>
      </c>
    </row>
    <row r="39" ht="18" customHeight="1">
      <c r="A39" s="8" t="inlineStr">
        <is>
          <t>Area Cost Factor</t>
        </is>
      </c>
      <c r="B39" s="5" t="inlineStr">
        <is>
          <t>1.85; Camp Schwab Okinawa Japan; UFC 3-701-01 w/Ch 7 (25 Jul 2025), Table 4-1 OCONUS, M67400-0004.</t>
        </is>
      </c>
    </row>
    <row r="40" ht="18" customHeight="1">
      <c r="A40" s="8" t="inlineStr">
        <is>
          <t>Escalation</t>
        </is>
      </c>
      <c r="B40" s="5" t="inlineStr">
        <is>
          <t>2.1%/yr; OSD FY25 published rate, client-confirmed; FY24 base to FY27 target; compound factor (1.021)^3 = 1.0643.</t>
        </is>
      </c>
    </row>
    <row r="41" ht="18" customHeight="1">
      <c r="A41" s="8" t="inlineStr">
        <is>
          <t>General Requirements</t>
        </is>
      </c>
      <c r="B41" s="5" t="inlineStr">
        <is>
          <t>10.0%; FSRM program-directed; UFS 3-740-05.</t>
        </is>
      </c>
    </row>
    <row r="42" ht="18" customHeight="1">
      <c r="A42" s="8" t="inlineStr">
        <is>
          <t>PAX Associated Costs</t>
        </is>
      </c>
      <c r="B42" s="5" t="inlineStr">
        <is>
          <t>Contingency 10%, SIOH 8% (OCONUS FSRM customer-directed), DB Design 4%; combined multiplier 1.23552. Planning and Design 6% NON ADD; informational only.</t>
        </is>
      </c>
    </row>
    <row r="43" ht="18" customHeight="1">
      <c r="A43" s="8" t="inlineStr">
        <is>
          <t>Cost Adjustment Factor</t>
        </is>
      </c>
      <c r="B43" s="5" t="inlineStr">
        <is>
          <t>Live formula in PARAMETERS reconciles the ROM chain to the locked Total Project Cost. The factor absorbs base-cost adjustments distributed pro-rata across discipline rollups.</t>
        </is>
      </c>
    </row>
    <row r="44" ht="18" customHeight="1">
      <c r="A44" s="8" t="inlineStr">
        <is>
          <t>Unit Cost Basis</t>
        </is>
      </c>
      <c r="B44" s="5" t="inlineStr">
        <is>
          <t>FY24 CONUS pre-ACF assembly-level unit costs per RS Means; UFC 3-410-01 / 3-420-01 / 3-520-01 / 3-530-01 / 3-580-01 as applicable.</t>
        </is>
      </c>
    </row>
    <row r="45" ht="18" customHeight="1">
      <c r="A45" s="8" t="inlineStr">
        <is>
          <t>Items Requiring Verification</t>
        </is>
      </c>
      <c r="B45" s="5" t="inlineStr">
        <is>
          <t>JPY/USD exchange rate per Federal Reserve H.10 on date of PAX submission.</t>
        </is>
      </c>
    </row>
    <row r="46" ht="18" customHeight="1">
      <c r="A46" s="8" t="inlineStr">
        <is>
          <t>Prepared By</t>
        </is>
      </c>
      <c r="B46" s="5" t="inlineStr">
        <is>
          <t>Anthony L. Potter  |  Facilities Planner  |  MCIPAC G-F PPE  |  29 Apr 2026</t>
        </is>
      </c>
    </row>
    <row r="48">
      <c r="A48" s="2" t="inlineStr">
        <is>
          <t>E.  VERSION HISTORY</t>
        </is>
      </c>
    </row>
    <row r="49">
      <c r="A49" s="3" t="inlineStr">
        <is>
          <t>Version</t>
        </is>
      </c>
      <c r="B49" s="3" t="inlineStr">
        <is>
          <t>Date</t>
        </is>
      </c>
      <c r="C49" s="3" t="inlineStr">
        <is>
          <t>Total Project Cost ($)</t>
        </is>
      </c>
      <c r="D49" s="3" t="inlineStr">
        <is>
          <t>Notes</t>
        </is>
      </c>
    </row>
    <row r="50">
      <c r="A50" s="10" t="inlineStr">
        <is>
          <t>Current</t>
        </is>
      </c>
      <c r="B50" s="4" t="inlineStr">
        <is>
          <t>29 Apr 2026</t>
        </is>
      </c>
      <c r="C50" s="6">
        <f>C20</f>
        <v/>
      </c>
      <c r="D50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7:D37"/>
    <mergeCell ref="B45:D45"/>
    <mergeCell ref="B46:D46"/>
    <mergeCell ref="A12:D12"/>
    <mergeCell ref="B41:D41"/>
    <mergeCell ref="A48:D48"/>
    <mergeCell ref="A26:D26"/>
    <mergeCell ref="A3:D3"/>
    <mergeCell ref="B40:D40"/>
    <mergeCell ref="B44:D44"/>
    <mergeCell ref="B43:D43"/>
    <mergeCell ref="B39:D39"/>
    <mergeCell ref="B38:D38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SCH-3270  |  SCOPE DETAIL &amp; QUANTITY TAKEOFF  |  BASE YEAR FY24 CONUS DIRECT COSTS  |  Fi Web BU26PPE74M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MECHANICAL - HVAC ACP SYSTEM REPLACEMENT - 7 Outdoor Units + 24 Indoor Fan Coils + Infrastructure</t>
        </is>
      </c>
    </row>
    <row r="5">
      <c r="A5" s="4" t="n">
        <v>1</v>
      </c>
      <c r="B5" s="4" t="inlineStr">
        <is>
          <t>Mech</t>
        </is>
      </c>
      <c r="C5" s="5" t="inlineStr">
        <is>
          <t>Replace VRF outdoor condensing unit ACP-1 | 50.2 KW / 14.3 tons | furnished and installed complete with refrigerant line connections, electrical connections, startup and commissioning</t>
        </is>
      </c>
      <c r="D5" s="13" t="n">
        <v>1</v>
      </c>
      <c r="E5" s="4" t="inlineStr">
        <is>
          <t>EA</t>
        </is>
      </c>
      <c r="F5" s="14" t="n">
        <v>23500</v>
      </c>
      <c r="G5" s="15">
        <f>D5*F5</f>
        <v/>
      </c>
      <c r="H5" s="10" t="inlineStr">
        <is>
          <t>D30</t>
        </is>
      </c>
      <c r="I5" s="5" t="inlineStr">
        <is>
          <t>RS Means D3030; large commercial VRF condensing unit; UFC 3-410-01; ACP capacity confirmed 07 Mar 2026</t>
        </is>
      </c>
    </row>
    <row r="6">
      <c r="A6" s="4" t="n">
        <v>2</v>
      </c>
      <c r="B6" s="4" t="inlineStr">
        <is>
          <t>Mech</t>
        </is>
      </c>
      <c r="C6" s="5" t="inlineStr">
        <is>
          <t>Replace VRF outdoor condensing unit ACP-2 | 26.2 KW / 7.4 tons | furnished and installed complete</t>
        </is>
      </c>
      <c r="D6" s="13" t="n">
        <v>1</v>
      </c>
      <c r="E6" s="4" t="inlineStr">
        <is>
          <t>EA</t>
        </is>
      </c>
      <c r="F6" s="14" t="n">
        <v>14500</v>
      </c>
      <c r="G6" s="15">
        <f>D6*F6</f>
        <v/>
      </c>
      <c r="H6" s="10" t="inlineStr">
        <is>
          <t>D30</t>
        </is>
      </c>
      <c r="I6" s="5" t="inlineStr">
        <is>
          <t>RS Means D3030; UFC 3-410-01</t>
        </is>
      </c>
    </row>
    <row r="7">
      <c r="A7" s="4" t="n">
        <v>3</v>
      </c>
      <c r="B7" s="4" t="inlineStr">
        <is>
          <t>Mech</t>
        </is>
      </c>
      <c r="C7" s="5" t="inlineStr">
        <is>
          <t>Replace VRF outdoor condensing unit ACP-3 | 40.0 KW / 11.4 tons | furnished and installed complete</t>
        </is>
      </c>
      <c r="D7" s="13" t="n">
        <v>1</v>
      </c>
      <c r="E7" s="4" t="inlineStr">
        <is>
          <t>EA</t>
        </is>
      </c>
      <c r="F7" s="14" t="n">
        <v>19500</v>
      </c>
      <c r="G7" s="15">
        <f>D7*F7</f>
        <v/>
      </c>
      <c r="H7" s="10" t="inlineStr">
        <is>
          <t>D30</t>
        </is>
      </c>
      <c r="I7" s="5" t="inlineStr">
        <is>
          <t>RS Means D3030; UFC 3-410-01</t>
        </is>
      </c>
    </row>
    <row r="8">
      <c r="A8" s="4" t="n">
        <v>4</v>
      </c>
      <c r="B8" s="4" t="inlineStr">
        <is>
          <t>Mech</t>
        </is>
      </c>
      <c r="C8" s="5" t="inlineStr">
        <is>
          <t>Replace VRF outdoor condensing unit ACP-4 | 16.0 KW / 4.5 tons | furnished and installed complete</t>
        </is>
      </c>
      <c r="D8" s="13" t="n">
        <v>1</v>
      </c>
      <c r="E8" s="4" t="inlineStr">
        <is>
          <t>EA</t>
        </is>
      </c>
      <c r="F8" s="14" t="n">
        <v>10000</v>
      </c>
      <c r="G8" s="15">
        <f>D8*F8</f>
        <v/>
      </c>
      <c r="H8" s="10" t="inlineStr">
        <is>
          <t>D30</t>
        </is>
      </c>
      <c r="I8" s="5" t="inlineStr">
        <is>
          <t>RS Means D3030; UFC 3-410-01</t>
        </is>
      </c>
    </row>
    <row r="9">
      <c r="A9" s="4" t="n">
        <v>5</v>
      </c>
      <c r="B9" s="4" t="inlineStr">
        <is>
          <t>Mech</t>
        </is>
      </c>
      <c r="C9" s="5" t="inlineStr">
        <is>
          <t>Replace VRF outdoor condensing unit ACP-5 | 40.0 KW / 11.4 tons | furnished and installed complete</t>
        </is>
      </c>
      <c r="D9" s="13" t="n">
        <v>1</v>
      </c>
      <c r="E9" s="4" t="inlineStr">
        <is>
          <t>EA</t>
        </is>
      </c>
      <c r="F9" s="14" t="n">
        <v>19500</v>
      </c>
      <c r="G9" s="15">
        <f>D9*F9</f>
        <v/>
      </c>
      <c r="H9" s="10" t="inlineStr">
        <is>
          <t>D30</t>
        </is>
      </c>
      <c r="I9" s="5" t="inlineStr">
        <is>
          <t>RS Means D3030; UFC 3-410-01</t>
        </is>
      </c>
    </row>
    <row r="10">
      <c r="A10" s="4" t="n">
        <v>6</v>
      </c>
      <c r="B10" s="4" t="inlineStr">
        <is>
          <t>Mech</t>
        </is>
      </c>
      <c r="C10" s="5" t="inlineStr">
        <is>
          <t>Replace VRF outdoor condensing unit ACP-6 | 14.0 KW / 4.0 tons | furnished and installed complete</t>
        </is>
      </c>
      <c r="D10" s="13" t="n">
        <v>1</v>
      </c>
      <c r="E10" s="4" t="inlineStr">
        <is>
          <t>EA</t>
        </is>
      </c>
      <c r="F10" s="14" t="n">
        <v>9500</v>
      </c>
      <c r="G10" s="15">
        <f>D10*F10</f>
        <v/>
      </c>
      <c r="H10" s="10" t="inlineStr">
        <is>
          <t>D30</t>
        </is>
      </c>
      <c r="I10" s="5" t="inlineStr">
        <is>
          <t>RS Means D3030; UFC 3-410-01</t>
        </is>
      </c>
    </row>
    <row r="11">
      <c r="A11" s="4" t="n">
        <v>7</v>
      </c>
      <c r="B11" s="4" t="inlineStr">
        <is>
          <t>Mech</t>
        </is>
      </c>
      <c r="C11" s="5" t="inlineStr">
        <is>
          <t>Replace mini-split condensing unit ACP-7 | 2.2 KW / 0.6 tons | standalone; furnished and installed complete with startup</t>
        </is>
      </c>
      <c r="D11" s="13" t="n">
        <v>1</v>
      </c>
      <c r="E11" s="4" t="inlineStr">
        <is>
          <t>EA</t>
        </is>
      </c>
      <c r="F11" s="14" t="n">
        <v>3500</v>
      </c>
      <c r="G11" s="15">
        <f>D11*F11</f>
        <v/>
      </c>
      <c r="H11" s="10" t="inlineStr">
        <is>
          <t>D30</t>
        </is>
      </c>
      <c r="I11" s="5" t="inlineStr">
        <is>
          <t>RS Means D3030; UFC 3-410-01</t>
        </is>
      </c>
    </row>
    <row r="12">
      <c r="A12" s="4" t="n">
        <v>8</v>
      </c>
      <c r="B12" s="4" t="inlineStr">
        <is>
          <t>Mech</t>
        </is>
      </c>
      <c r="C12" s="5" t="inlineStr">
        <is>
          <t>Replace indoor VRF fan coil units ACP-3 zone | 14 EA ducted cassette type | mixed 2.2/2.0/2.8 KW | furnished and installed complete</t>
        </is>
      </c>
      <c r="D12" s="13" t="n">
        <v>14</v>
      </c>
      <c r="E12" s="4" t="inlineStr">
        <is>
          <t>EA</t>
        </is>
      </c>
      <c r="F12" s="14" t="n">
        <v>2800</v>
      </c>
      <c r="G12" s="15">
        <f>D12*F12</f>
        <v/>
      </c>
      <c r="H12" s="10" t="inlineStr">
        <is>
          <t>D30</t>
        </is>
      </c>
      <c r="I12" s="5" t="inlineStr">
        <is>
          <t>RS Means D3050; qty and capacity confirmed ACP schedule 07 Mar 2026</t>
        </is>
      </c>
    </row>
    <row r="13">
      <c r="A13" s="4" t="n">
        <v>9</v>
      </c>
      <c r="B13" s="4" t="inlineStr">
        <is>
          <t>Mech</t>
        </is>
      </c>
      <c r="C13" s="5" t="inlineStr">
        <is>
          <t>Replace indoor VRF fan coil units ACP-4 zone | 3 EA ducted cassette type | mixed 3.6/3.6/1.5 KW | furnished and installed complete</t>
        </is>
      </c>
      <c r="D13" s="13" t="n">
        <v>3</v>
      </c>
      <c r="E13" s="4" t="inlineStr">
        <is>
          <t>EA</t>
        </is>
      </c>
      <c r="F13" s="14" t="n">
        <v>2800</v>
      </c>
      <c r="G13" s="15">
        <f>D13*F13</f>
        <v/>
      </c>
      <c r="H13" s="10" t="inlineStr">
        <is>
          <t>D30</t>
        </is>
      </c>
      <c r="I13" s="5" t="inlineStr">
        <is>
          <t>RS Means D3050; qty and capacity confirmed ACP schedule 07 Mar 2026</t>
        </is>
      </c>
    </row>
    <row r="14">
      <c r="A14" s="4" t="n">
        <v>10</v>
      </c>
      <c r="B14" s="4" t="inlineStr">
        <is>
          <t>Mech</t>
        </is>
      </c>
      <c r="C14" s="5" t="inlineStr">
        <is>
          <t>Replace indoor VRF fan coil units ACP-5 zone | 4 EA ducted cassette type | mixed 4.5/4.4/6.0/11.2 KW | furnished and installed complete</t>
        </is>
      </c>
      <c r="D14" s="13" t="n">
        <v>4</v>
      </c>
      <c r="E14" s="4" t="inlineStr">
        <is>
          <t>EA</t>
        </is>
      </c>
      <c r="F14" s="14" t="n">
        <v>2800</v>
      </c>
      <c r="G14" s="15">
        <f>D14*F14</f>
        <v/>
      </c>
      <c r="H14" s="10" t="inlineStr">
        <is>
          <t>D30</t>
        </is>
      </c>
      <c r="I14" s="5" t="inlineStr">
        <is>
          <t>RS Means D3050; qty and capacity confirmed ACP schedule 07 Mar 2026</t>
        </is>
      </c>
    </row>
    <row r="15">
      <c r="A15" s="4" t="n">
        <v>11</v>
      </c>
      <c r="B15" s="4" t="inlineStr">
        <is>
          <t>Mech</t>
        </is>
      </c>
      <c r="C15" s="5" t="inlineStr">
        <is>
          <t>Replace indoor VRF fan coil units ACP-6 zone | 3 EA ducted cassette type | mixed 2.8/2.8/1.45 KW | furnished and installed complete</t>
        </is>
      </c>
      <c r="D15" s="13" t="n">
        <v>3</v>
      </c>
      <c r="E15" s="4" t="inlineStr">
        <is>
          <t>EA</t>
        </is>
      </c>
      <c r="F15" s="14" t="n">
        <v>2800</v>
      </c>
      <c r="G15" s="15">
        <f>D15*F15</f>
        <v/>
      </c>
      <c r="H15" s="10" t="inlineStr">
        <is>
          <t>D30</t>
        </is>
      </c>
      <c r="I15" s="5" t="inlineStr">
        <is>
          <t>RS Means D3050; qty and capacity confirmed ACP schedule 07 Mar 2026</t>
        </is>
      </c>
    </row>
    <row r="16">
      <c r="A16" s="4" t="n">
        <v>12</v>
      </c>
      <c r="B16" s="4" t="inlineStr">
        <is>
          <t>Mech</t>
        </is>
      </c>
      <c r="C16" s="5" t="inlineStr">
        <is>
          <t>Refrigerant piping | line sets | insulation | fittings | pressure testing | all 7 ACP systems complete</t>
        </is>
      </c>
      <c r="D16" s="13" t="n">
        <v>1</v>
      </c>
      <c r="E16" s="4" t="inlineStr">
        <is>
          <t>LS</t>
        </is>
      </c>
      <c r="F16" s="14" t="n">
        <v>20000</v>
      </c>
      <c r="G16" s="15">
        <f>D16*F16</f>
        <v/>
      </c>
      <c r="H16" s="10" t="inlineStr">
        <is>
          <t>D30</t>
        </is>
      </c>
      <c r="I16" s="5" t="inlineStr">
        <is>
          <t>UFC 3-410-01; includes all branch piping to indoor fan coil units</t>
        </is>
      </c>
    </row>
    <row r="17">
      <c r="A17" s="4" t="n">
        <v>13</v>
      </c>
      <c r="B17" s="4" t="inlineStr">
        <is>
          <t>Mech</t>
        </is>
      </c>
      <c r="C17" s="5" t="inlineStr">
        <is>
          <t>Electrical disconnects and dedicated circuit connections for 7 outdoor ACP condensing units</t>
        </is>
      </c>
      <c r="D17" s="13" t="n">
        <v>7</v>
      </c>
      <c r="E17" s="4" t="inlineStr">
        <is>
          <t>EA</t>
        </is>
      </c>
      <c r="F17" s="14" t="n">
        <v>1800</v>
      </c>
      <c r="G17" s="15">
        <f>D17*F17</f>
        <v/>
      </c>
      <c r="H17" s="10" t="inlineStr">
        <is>
          <t>D30</t>
        </is>
      </c>
      <c r="I17" s="5" t="inlineStr">
        <is>
          <t>UFC 3-520-01; one disconnect and connection set per outdoor ACP unit</t>
        </is>
      </c>
    </row>
    <row r="18">
      <c r="A18" s="4" t="n">
        <v>14</v>
      </c>
      <c r="B18" s="4" t="inlineStr">
        <is>
          <t>Mech</t>
        </is>
      </c>
      <c r="C18" s="5" t="inlineStr">
        <is>
          <t>Redesign air pull infrastructure | supply/return vents | fan power boxes | door louvers | 1F and 2F complete</t>
        </is>
      </c>
      <c r="D18" s="13" t="n">
        <v>1</v>
      </c>
      <c r="E18" s="4" t="inlineStr">
        <is>
          <t>LS</t>
        </is>
      </c>
      <c r="F18" s="14" t="n">
        <v>18000</v>
      </c>
      <c r="G18" s="15">
        <f>D18*F18</f>
        <v/>
      </c>
      <c r="H18" s="10" t="inlineStr">
        <is>
          <t>D30</t>
        </is>
      </c>
      <c r="I18" s="5" t="inlineStr">
        <is>
          <t>UFC 3-410-01; site survey confirms air pull redesign required throughout building</t>
        </is>
      </c>
    </row>
    <row r="19">
      <c r="A19" s="4" t="n">
        <v>15</v>
      </c>
      <c r="B19" s="4" t="inlineStr">
        <is>
          <t>Mech</t>
        </is>
      </c>
      <c r="C19" s="5" t="inlineStr">
        <is>
          <t>Install new split unit HVAC | 1F and 2F hallways | 2 EA | capacity per designer load calculation</t>
        </is>
      </c>
      <c r="D19" s="13" t="n">
        <v>2</v>
      </c>
      <c r="E19" s="4" t="inlineStr">
        <is>
          <t>EA</t>
        </is>
      </c>
      <c r="F19" s="14" t="n">
        <v>12000</v>
      </c>
      <c r="G19" s="15">
        <f>D19*F19</f>
        <v/>
      </c>
      <c r="H19" s="10" t="inlineStr">
        <is>
          <t>D30</t>
        </is>
      </c>
      <c r="I19" s="5" t="inlineStr">
        <is>
          <t>RS Means D3030; UFC 3-410-01; new hallway coverage both floors</t>
        </is>
      </c>
    </row>
    <row r="20" ht="18" customHeight="1">
      <c r="A20" s="12" t="inlineStr">
        <is>
          <t>2.  MECHANICAL - DOAS FRESH AIR SYSTEMS - 4 Units + Ductwork Evaluation</t>
        </is>
      </c>
    </row>
    <row r="21">
      <c r="A21" s="4" t="n">
        <v>16</v>
      </c>
      <c r="B21" s="4" t="inlineStr">
        <is>
          <t>Mech</t>
        </is>
      </c>
      <c r="C21" s="5" t="inlineStr">
        <is>
          <t>Replace ACP-1 100% outside air packaged unit | RM123 Mechanical Room 3 | serves main shop areas | furnished and installed complete with refrigerant lines, electrical, controls, and startup</t>
        </is>
      </c>
      <c r="D21" s="13" t="n">
        <v>1</v>
      </c>
      <c r="E21" s="4" t="inlineStr">
        <is>
          <t>EA</t>
        </is>
      </c>
      <c r="F21" s="14" t="n">
        <v>38000</v>
      </c>
      <c r="G21" s="15">
        <f>D21*F21</f>
        <v/>
      </c>
      <c r="H21" s="10" t="inlineStr">
        <is>
          <t>D30</t>
        </is>
      </c>
      <c r="I21" s="5" t="inlineStr">
        <is>
          <t>RS Means D3060; 100% OA packaged unit; UFC 3-410-01; ASHRAE 62.1; AS-BUILT mech drawings confirmed</t>
        </is>
      </c>
    </row>
    <row r="22">
      <c r="A22" s="4" t="n">
        <v>17</v>
      </c>
      <c r="B22" s="4" t="inlineStr">
        <is>
          <t>Mech</t>
        </is>
      </c>
      <c r="C22" s="5" t="inlineStr">
        <is>
          <t>Replace ACP-4-3 outside air processing unit | RM104 Office 1 | furnished and installed complete</t>
        </is>
      </c>
      <c r="D22" s="13" t="n">
        <v>1</v>
      </c>
      <c r="E22" s="4" t="inlineStr">
        <is>
          <t>EA</t>
        </is>
      </c>
      <c r="F22" s="14" t="n">
        <v>16000</v>
      </c>
      <c r="G22" s="15">
        <f>D22*F22</f>
        <v/>
      </c>
      <c r="H22" s="10" t="inlineStr">
        <is>
          <t>D30</t>
        </is>
      </c>
      <c r="I22" s="5" t="inlineStr">
        <is>
          <t>RS Means D3060; outside air processing unit; UFC 3-410-01; location confirmed AS-BUILT mech drawings</t>
        </is>
      </c>
    </row>
    <row r="23">
      <c r="A23" s="4" t="n">
        <v>18</v>
      </c>
      <c r="B23" s="4" t="inlineStr">
        <is>
          <t>Mech</t>
        </is>
      </c>
      <c r="C23" s="5" t="inlineStr">
        <is>
          <t>Replace ACP-5-4 outside air processing unit | RM207 Class Room | furnished and installed complete</t>
        </is>
      </c>
      <c r="D23" s="13" t="n">
        <v>1</v>
      </c>
      <c r="E23" s="4" t="inlineStr">
        <is>
          <t>EA</t>
        </is>
      </c>
      <c r="F23" s="14" t="n">
        <v>16000</v>
      </c>
      <c r="G23" s="15">
        <f>D23*F23</f>
        <v/>
      </c>
      <c r="H23" s="10" t="inlineStr">
        <is>
          <t>D30</t>
        </is>
      </c>
      <c r="I23" s="5" t="inlineStr">
        <is>
          <t>RS Means D3060; UFC 3-410-01; location confirmed AS-BUILT mech drawings</t>
        </is>
      </c>
    </row>
    <row r="24">
      <c r="A24" s="4" t="n">
        <v>19</v>
      </c>
      <c r="B24" s="4" t="inlineStr">
        <is>
          <t>Mech</t>
        </is>
      </c>
      <c r="C24" s="5" t="inlineStr">
        <is>
          <t>Replace ACP-6-3 outside air processing unit | RM116 Office 2 | furnished and installed complete</t>
        </is>
      </c>
      <c r="D24" s="13" t="n">
        <v>1</v>
      </c>
      <c r="E24" s="4" t="inlineStr">
        <is>
          <t>EA</t>
        </is>
      </c>
      <c r="F24" s="14" t="n">
        <v>16000</v>
      </c>
      <c r="G24" s="15">
        <f>D24*F24</f>
        <v/>
      </c>
      <c r="H24" s="10" t="inlineStr">
        <is>
          <t>D30</t>
        </is>
      </c>
      <c r="I24" s="5" t="inlineStr">
        <is>
          <t>RS Means D3060; UFC 3-410-01; location confirmed AS-BUILT mech drawings</t>
        </is>
      </c>
    </row>
    <row r="25">
      <c r="A25" s="4" t="n">
        <v>20</v>
      </c>
      <c r="B25" s="4" t="inlineStr">
        <is>
          <t>Mech</t>
        </is>
      </c>
      <c r="C25" s="5" t="inlineStr">
        <is>
          <t>Existing supply ductwork evaluation and replacement as required | all 4 DOAS systems | designer to confirm reuse vs. replacement per field assessment</t>
        </is>
      </c>
      <c r="D25" s="13" t="n">
        <v>1</v>
      </c>
      <c r="E25" s="4" t="inlineStr">
        <is>
          <t>LS</t>
        </is>
      </c>
      <c r="F25" s="14" t="n">
        <v>18000</v>
      </c>
      <c r="G25" s="15">
        <f>D25*F25</f>
        <v/>
      </c>
      <c r="H25" s="10" t="inlineStr">
        <is>
          <t>D30</t>
        </is>
      </c>
      <c r="I25" s="5" t="inlineStr">
        <is>
          <t>UFC 3-410-01; ASHRAE 62.1; ductwork shown in AS-BUILT drawings; reuse determination by designer</t>
        </is>
      </c>
    </row>
    <row r="26" ht="18" customHeight="1">
      <c r="A26" s="12" t="inlineStr">
        <is>
          <t>3.  MECHANICAL - EXHAUST SYSTEMS - 22 General Fans + 10 Hose Reels + Welding Exhaust Restore + RM114 Removal</t>
        </is>
      </c>
    </row>
    <row r="27">
      <c r="A27" s="4" t="n">
        <v>21</v>
      </c>
      <c r="B27" s="4" t="inlineStr">
        <is>
          <t>Mech</t>
        </is>
      </c>
      <c r="C27" s="5" t="inlineStr">
        <is>
          <t>Replace general exhaust fans building-wide | 22 EA | FE-1,7,9,10,11,15,16,17 (restroom/shower/janitor) | FE-2,3,4 (storage/recycle) | FE-5,6,12 (shop) | FE-18,19,20,21,FS-1 (mechanical/battery/boiler) | FE-22,33,34 (bay/roof) | furnished and installed complete | designer evaluates duct reuse per room</t>
        </is>
      </c>
      <c r="D27" s="13" t="n">
        <v>22</v>
      </c>
      <c r="E27" s="4" t="inlineStr">
        <is>
          <t>EA</t>
        </is>
      </c>
      <c r="F27" s="14" t="n">
        <v>3000</v>
      </c>
      <c r="G27" s="15">
        <f>D27*F27</f>
        <v/>
      </c>
      <c r="H27" s="10" t="inlineStr">
        <is>
          <t>D30</t>
        </is>
      </c>
      <c r="I27" s="5" t="inlineStr">
        <is>
          <t>RS Means D3090; UFC 3-410-01; 2010 vintage approaching EOL; quantities confirmed from mechanical equipment schedule FE-1 through FS-1</t>
        </is>
      </c>
    </row>
    <row r="28">
      <c r="A28" s="4" t="n">
        <v>22</v>
      </c>
      <c r="B28" s="4" t="inlineStr">
        <is>
          <t>Mech</t>
        </is>
      </c>
      <c r="C28" s="5" t="inlineStr">
        <is>
          <t>Replace vehicle exhaust hose reel assemblies | 10 EA total | FE-23 through FE-28 in RM105 Maintenance Bay (6 EA) | FE-29 through FE-32 in RM113 Maintenance Bay (4 EA) | fan, reel assembly, and branch duct replacement complete | main exhaust header evaluation included</t>
        </is>
      </c>
      <c r="D28" s="13" t="n">
        <v>10</v>
      </c>
      <c r="E28" s="4" t="inlineStr">
        <is>
          <t>EA</t>
        </is>
      </c>
      <c r="F28" s="14" t="n">
        <v>5000</v>
      </c>
      <c r="G28" s="15">
        <f>D28*F28</f>
        <v/>
      </c>
      <c r="H28" s="10" t="inlineStr">
        <is>
          <t>D30</t>
        </is>
      </c>
      <c r="I28" s="5" t="inlineStr">
        <is>
          <t>RS Means D3090; vehicle exhaust capture systems; UFC 3-410-01; quantities and locations confirmed from AS-BUILT mechanical drawings</t>
        </is>
      </c>
    </row>
    <row r="29">
      <c r="A29" s="4" t="n">
        <v>23</v>
      </c>
      <c r="B29" s="4" t="inlineStr">
        <is>
          <t>Mech</t>
        </is>
      </c>
      <c r="C29" s="5" t="inlineStr">
        <is>
          <t>Full removal of abandoned dust collection system RM114 Wood Shop | exterior DC unit | wall penetration | all internal ductwork | 4 equipment connection points (miter saw, band saw, table saw, radial saw/sander) | debris disposal complete</t>
        </is>
      </c>
      <c r="D29" s="13" t="n">
        <v>1</v>
      </c>
      <c r="E29" s="4" t="inlineStr">
        <is>
          <t>LS</t>
        </is>
      </c>
      <c r="F29" s="14" t="n">
        <v>8500</v>
      </c>
      <c r="G29" s="15">
        <f>D29*F29</f>
        <v/>
      </c>
      <c r="H29" s="10" t="inlineStr">
        <is>
          <t>D30</t>
        </is>
      </c>
      <c r="I29" s="5" t="inlineStr">
        <is>
          <t>RS Means D3090 demolition; UFC 3-410-01; full system extent confirmed from AS-BUILT mechanical drawings</t>
        </is>
      </c>
    </row>
    <row r="30">
      <c r="A30" s="4" t="n">
        <v>24</v>
      </c>
      <c r="B30" s="4" t="inlineStr">
        <is>
          <t>Mech</t>
        </is>
      </c>
      <c r="C30" s="5" t="inlineStr">
        <is>
          <t>Repair and restore RM117 Welding Shop exhaust system | replace exhaust fans FE-13 and FE-14 | replace roof ventilator FA-1 | repair/replace welding exhaust hood and all associated ductwork | system originally designed for welding operations and has fallen into disrepair</t>
        </is>
      </c>
      <c r="D30" s="13" t="n">
        <v>1</v>
      </c>
      <c r="E30" s="4" t="inlineStr">
        <is>
          <t>LS</t>
        </is>
      </c>
      <c r="F30" s="14" t="n">
        <v>14000</v>
      </c>
      <c r="G30" s="15">
        <f>D30*F30</f>
        <v/>
      </c>
      <c r="H30" s="10" t="inlineStr">
        <is>
          <t>D30</t>
        </is>
      </c>
      <c r="I30" s="5" t="inlineStr">
        <is>
          <t>RS Means D3090; UFC 3-410-01; system fully shown in AS-BUILT drawings as active design; confirmed repair required 19 Mar 2026</t>
        </is>
      </c>
    </row>
    <row r="31" ht="18" customHeight="1">
      <c r="A31" s="12" t="inlineStr">
        <is>
          <t>4.  MECHANICAL - BATTERY ROOM - RM102 Ventilation and Conditioning Upgrade</t>
        </is>
      </c>
    </row>
    <row r="32">
      <c r="A32" s="4" t="n">
        <v>25</v>
      </c>
      <c r="B32" s="4" t="inlineStr">
        <is>
          <t>Mech</t>
        </is>
      </c>
      <c r="C32" s="5" t="inlineStr">
        <is>
          <t>Battery room RM102 ventilation and conditioning upgrade | extend multizone split system to meet temperature requirements | upgrade existing wall exhaust fan FE-20 to code-compliant interlocked exhaust for hydrogen gas control | no existing hood or ductwork present</t>
        </is>
      </c>
      <c r="D32" s="13" t="n">
        <v>1</v>
      </c>
      <c r="E32" s="4" t="inlineStr">
        <is>
          <t>LS</t>
        </is>
      </c>
      <c r="F32" s="14" t="n">
        <v>12000</v>
      </c>
      <c r="G32" s="15">
        <f>D32*F32</f>
        <v/>
      </c>
      <c r="H32" s="10" t="inlineStr">
        <is>
          <t>D30</t>
        </is>
      </c>
      <c r="I32" s="5" t="inlineStr">
        <is>
          <t>RS Means D3090/D5030; OSHA 1910.178(g); UFC 3-520-01; existing FE-20 wall propeller fan confirmed from AS-BUILT drawings; no duct or hood present</t>
        </is>
      </c>
    </row>
    <row r="33" ht="18" customHeight="1">
      <c r="A33" s="12" t="inlineStr">
        <is>
          <t>5.  MECHANICAL - COMPRESSED AIR - RM119 System Inspection and Repair</t>
        </is>
      </c>
    </row>
    <row r="34">
      <c r="A34" s="4" t="n">
        <v>26</v>
      </c>
      <c r="B34" s="4" t="inlineStr">
        <is>
          <t>Mech</t>
        </is>
      </c>
      <c r="C34" s="5" t="inlineStr">
        <is>
          <t xml:space="preserve">Compressed air system inspection, pressure testing, and repair as necessary | COM-1 compressor and air receiver in RM119 Mechanical Room 1 | full distribution loop through RM105, RM113, and shops RM101-104 | column-mounted air outlet drops throughout </t>
        </is>
      </c>
      <c r="D34" s="13" t="n">
        <v>1</v>
      </c>
      <c r="E34" s="4" t="inlineStr">
        <is>
          <t>LS</t>
        </is>
      </c>
      <c r="F34" s="14" t="n">
        <v>8500</v>
      </c>
      <c r="G34" s="15">
        <f>D34*F34</f>
        <v/>
      </c>
      <c r="H34" s="10" t="inlineStr">
        <is>
          <t>D30</t>
        </is>
      </c>
      <c r="I34" s="5" t="inlineStr">
        <is>
          <t>RS Means D3090; system extent and layout confirmed from AS-BUILT compressed air plan drawings; repair as necessary</t>
        </is>
      </c>
    </row>
    <row r="35" ht="18" customHeight="1">
      <c r="A35" s="12" t="inlineStr">
        <is>
          <t>6.  PLUMBING - Safety Stations and Fixtures</t>
        </is>
      </c>
    </row>
    <row r="36">
      <c r="A36" s="4" t="n">
        <v>27</v>
      </c>
      <c r="B36" s="4" t="inlineStr">
        <is>
          <t>Plmb</t>
        </is>
      </c>
      <c r="C36" s="5" t="inlineStr">
        <is>
          <t>Replace emergency eyewash and shower stations building-wide | replace 4 EA E-2 eyewash stations (2x RM102 Battery Room, 2x RM105 Maintenance Bay) | replace 1 EA E-1 combo shower/eyewash in RM102 | add 2 emergency shower stations at RM105 locations currently equipped with eyewash only | all per ANSI Z358.1 distance requirements</t>
        </is>
      </c>
      <c r="D36" s="13" t="n">
        <v>1</v>
      </c>
      <c r="E36" s="4" t="inlineStr">
        <is>
          <t>LS</t>
        </is>
      </c>
      <c r="F36" s="14" t="n">
        <v>16000</v>
      </c>
      <c r="G36" s="15">
        <f>D36*F36</f>
        <v/>
      </c>
      <c r="H36" s="10" t="inlineStr">
        <is>
          <t>D20</t>
        </is>
      </c>
      <c r="I36" s="5" t="inlineStr">
        <is>
          <t>RS Means D2010; ANSI Z358.1; UFC 3-420-01; fixture locations and types confirmed from AS-BUILT plumbing drawings</t>
        </is>
      </c>
    </row>
    <row r="37">
      <c r="A37" s="4" t="n">
        <v>28</v>
      </c>
      <c r="B37" s="4" t="inlineStr">
        <is>
          <t>Plmb</t>
        </is>
      </c>
      <c r="C37" s="5" t="inlineStr">
        <is>
          <t>Replace 2F electric water cooler | RM214 corridor | EW-1 fixture tag | furnished and installed complete</t>
        </is>
      </c>
      <c r="D37" s="13" t="n">
        <v>1</v>
      </c>
      <c r="E37" s="4" t="inlineStr">
        <is>
          <t>EA</t>
        </is>
      </c>
      <c r="F37" s="14" t="n">
        <v>2800</v>
      </c>
      <c r="G37" s="15">
        <f>D37*F37</f>
        <v/>
      </c>
      <c r="H37" s="10" t="inlineStr">
        <is>
          <t>D20</t>
        </is>
      </c>
      <c r="I37" s="5" t="inlineStr">
        <is>
          <t>RS Means D2020; UFC 3-420-01; fixture location confirmed from AS-BUILT plumbing drawings</t>
        </is>
      </c>
    </row>
    <row r="38" ht="18" customHeight="1">
      <c r="A38" s="12" t="inlineStr">
        <is>
          <t>7.  EXTERIOR DOORS - Roll-Up Door Inspection and Repair</t>
        </is>
      </c>
    </row>
    <row r="39">
      <c r="A39" s="4" t="n">
        <v>29</v>
      </c>
      <c r="B39" s="4" t="inlineStr">
        <is>
          <t>Arch</t>
        </is>
      </c>
      <c r="C39" s="5" t="inlineStr">
        <is>
          <t>Inspect and repair overhead roll-up doors | 22 EA total | RM105 (6 front, 6 rear) | RM113 (3 front, 3 rear) | wing rooms 101-104 (1 EA each, 4 total) | check springs, cables, operators, seals, and tracks | repair as necessary | all 2010 vintage</t>
        </is>
      </c>
      <c r="D39" s="13" t="n">
        <v>22</v>
      </c>
      <c r="E39" s="4" t="inlineStr">
        <is>
          <t>EA</t>
        </is>
      </c>
      <c r="F39" s="14" t="n">
        <v>1000</v>
      </c>
      <c r="G39" s="15">
        <f>D39*F39</f>
        <v/>
      </c>
      <c r="H39" s="10" t="inlineStr">
        <is>
          <t>B20</t>
        </is>
      </c>
      <c r="I39" s="5" t="inlineStr">
        <is>
          <t>RS Means G2050; 2010 vintage exterior vehicle bay doors; quantity and locations confirmed from AS-BUILT drawings; UNIFORMAT B2030 Exterior Doors</t>
        </is>
      </c>
    </row>
    <row r="40" ht="18" customHeight="1">
      <c r="A40" s="12" t="inlineStr">
        <is>
          <t>8.  ELECTRICAL - LIGHTING REPLACEMENT - 94 Confirmed Fixtures + Motion Sensors</t>
        </is>
      </c>
    </row>
    <row r="41">
      <c r="A41" s="4" t="n">
        <v>30</v>
      </c>
      <c r="B41" s="4" t="inlineStr">
        <is>
          <t>Elect</t>
        </is>
      </c>
      <c r="C41" s="5" t="inlineStr">
        <is>
          <t>Replace high bay fixtures | F-8-322-PH26 (4 EA pipe pendant) | F-11-321-PH26 (2 EA wall) | F-16-321-PH26 (15 EA recessed) | F-16-322-PH26 (1 EA recessed) | L-2-J13-16 (18 EA recessed) | L-0-J13-10 (2 EA pendant) | F-20-ST1FRF22P-C (2 EA recessed) | F-22-SHI-FBC20-C (18 EA wall) | 62 EA total | furnished and installed</t>
        </is>
      </c>
      <c r="D41" s="13" t="n">
        <v>62</v>
      </c>
      <c r="E41" s="4" t="inlineStr">
        <is>
          <t>EA</t>
        </is>
      </c>
      <c r="F41" s="14" t="n">
        <v>650</v>
      </c>
      <c r="G41" s="15">
        <f>D41*F41</f>
        <v/>
      </c>
      <c r="H41" s="10" t="inlineStr">
        <is>
          <t>D50</t>
        </is>
      </c>
      <c r="I41" s="5" t="inlineStr">
        <is>
          <t>RS Means D5020; UFC 3-530-01; fixture schedule confirmed 05 Mar 2026</t>
        </is>
      </c>
    </row>
    <row r="42">
      <c r="A42" s="4" t="n">
        <v>31</v>
      </c>
      <c r="B42" s="4" t="inlineStr">
        <is>
          <t>Elect</t>
        </is>
      </c>
      <c r="C42" s="5" t="inlineStr">
        <is>
          <t>Replace 400W metal halide high bay fixtures SP3-HSR1M-400BH26 | ceiling mounted | 30 EA | lift and rigging required | furnished and installed</t>
        </is>
      </c>
      <c r="D42" s="13" t="n">
        <v>30</v>
      </c>
      <c r="E42" s="4" t="inlineStr">
        <is>
          <t>EA</t>
        </is>
      </c>
      <c r="F42" s="14" t="n">
        <v>1800</v>
      </c>
      <c r="G42" s="15">
        <f>D42*F42</f>
        <v/>
      </c>
      <c r="H42" s="10" t="inlineStr">
        <is>
          <t>D50</t>
        </is>
      </c>
      <c r="I42" s="5" t="inlineStr">
        <is>
          <t>RS Means D5020; UFC 3-530-01; fixture schedule confirmed 05 Mar 2026</t>
        </is>
      </c>
    </row>
    <row r="43">
      <c r="A43" s="4" t="n">
        <v>32</v>
      </c>
      <c r="B43" s="4" t="inlineStr">
        <is>
          <t>Elect</t>
        </is>
      </c>
      <c r="C43" s="5" t="inlineStr">
        <is>
          <t>Replace 400W metal halide fixtures SP-2 HSR1M-400BH26 with integrated optical sensors | 2 EA | coordinate with fire detection system prior to execution</t>
        </is>
      </c>
      <c r="D43" s="13" t="n">
        <v>2</v>
      </c>
      <c r="E43" s="4" t="inlineStr">
        <is>
          <t>EA</t>
        </is>
      </c>
      <c r="F43" s="14" t="n">
        <v>3200</v>
      </c>
      <c r="G43" s="15">
        <f>D43*F43</f>
        <v/>
      </c>
      <c r="H43" s="10" t="inlineStr">
        <is>
          <t>D50</t>
        </is>
      </c>
      <c r="I43" s="5" t="inlineStr">
        <is>
          <t>UFC 3-530-01; NFPA 72; fire detection system coordination required before execution</t>
        </is>
      </c>
    </row>
    <row r="44">
      <c r="A44" s="4" t="n">
        <v>33</v>
      </c>
      <c r="B44" s="4" t="inlineStr">
        <is>
          <t>Elect</t>
        </is>
      </c>
      <c r="C44" s="5" t="inlineStr">
        <is>
          <t>Replace motion sensor lighting fixtures | qty and fixture type per full 1F and 2F lighting survey | includes wiring and switch leg modifications</t>
        </is>
      </c>
      <c r="D44" s="13" t="n">
        <v>1</v>
      </c>
      <c r="E44" s="4" t="inlineStr">
        <is>
          <t>LS</t>
        </is>
      </c>
      <c r="F44" s="14" t="n">
        <v>14000</v>
      </c>
      <c r="G44" s="15">
        <f>D44*F44</f>
        <v/>
      </c>
      <c r="H44" s="10" t="inlineStr">
        <is>
          <t>D50</t>
        </is>
      </c>
      <c r="I44" s="5" t="inlineStr">
        <is>
          <t>RS Means D5020; UFC 3-530-01; full lighting survey to be conducted during design phase</t>
        </is>
      </c>
    </row>
    <row r="45">
      <c r="A45" s="4" t="n">
        <v>34</v>
      </c>
      <c r="B45" s="4" t="inlineStr">
        <is>
          <t>Elect</t>
        </is>
      </c>
      <c r="C45" s="5" t="inlineStr">
        <is>
          <t>Electrical panel work | circuit modifications | branch wiring associated with fixture replacement throughout 1F and 2F</t>
        </is>
      </c>
      <c r="D45" s="13" t="n">
        <v>1</v>
      </c>
      <c r="E45" s="4" t="inlineStr">
        <is>
          <t>LS</t>
        </is>
      </c>
      <c r="F45" s="14" t="n">
        <v>10000</v>
      </c>
      <c r="G45" s="15">
        <f>D45*F45</f>
        <v/>
      </c>
      <c r="H45" s="10" t="inlineStr">
        <is>
          <t>D50</t>
        </is>
      </c>
      <c r="I45" s="5" t="inlineStr">
        <is>
          <t>UFC 3-520-01; includes panel schedule updates and circuit documentation</t>
        </is>
      </c>
    </row>
    <row r="46" ht="18" customHeight="1">
      <c r="A46" s="12" t="inlineStr">
        <is>
          <t>9.  COMMUNICATIONS - Cat6 NIPR Infrastructure + MNS - 70 Drops + Both TRs</t>
        </is>
      </c>
    </row>
    <row r="47">
      <c r="A47" s="4" t="n">
        <v>35</v>
      </c>
      <c r="B47" s="4" t="inlineStr">
        <is>
          <t>Comm</t>
        </is>
      </c>
      <c r="C47" s="5" t="inlineStr">
        <is>
          <t>Remove existing Cat5 and Cat3 cabling building-wide | 1F and 2F | includes J-boxes | patch panels | abandoned cable | complete</t>
        </is>
      </c>
      <c r="D47" s="13" t="n">
        <v>1</v>
      </c>
      <c r="E47" s="4" t="inlineStr">
        <is>
          <t>LS</t>
        </is>
      </c>
      <c r="F47" s="14" t="n">
        <v>7500</v>
      </c>
      <c r="G47" s="15">
        <f>D47*F47</f>
        <v/>
      </c>
      <c r="H47" s="10" t="inlineStr">
        <is>
          <t>D50</t>
        </is>
      </c>
      <c r="I47" s="5" t="inlineStr">
        <is>
          <t>UFC 3-580-01; building-wide removal required prior to new Cat6 installation</t>
        </is>
      </c>
    </row>
    <row r="48">
      <c r="A48" s="4" t="n">
        <v>36</v>
      </c>
      <c r="B48" s="4" t="inlineStr">
        <is>
          <t>Comm</t>
        </is>
      </c>
      <c r="C48" s="5" t="inlineStr">
        <is>
          <t>Install Cat6 structured cabling infrastructure | 70 NIPR drops total | 40 EA CLB-4 (by room per unit-provided requirements 18 Mar 2026) | 30 EA 4th Marine Regiment (opposite side of building) | horizontal runs to 1F TR and 2F TR | Cat6 cable | EMT conduit | J-boxes | WAOs | terminations and labeling | both TRs complete</t>
        </is>
      </c>
      <c r="D48" s="13" t="n">
        <v>70</v>
      </c>
      <c r="E48" s="4" t="inlineStr">
        <is>
          <t>EA</t>
        </is>
      </c>
      <c r="F48" s="14" t="n">
        <v>210</v>
      </c>
      <c r="G48" s="15">
        <f>D48*F48</f>
        <v/>
      </c>
      <c r="H48" s="10" t="inlineStr">
        <is>
          <t>D50</t>
        </is>
      </c>
      <c r="I48" s="5" t="inlineStr">
        <is>
          <t>RS Means D5030; UFC 3-580-01; TIA-568; NIPR requirements confirmed by unit 18 Mar 2026</t>
        </is>
      </c>
    </row>
    <row r="49">
      <c r="A49" s="4" t="n">
        <v>37</v>
      </c>
      <c r="B49" s="4" t="inlineStr">
        <is>
          <t>Comm</t>
        </is>
      </c>
      <c r="C49" s="5" t="inlineStr">
        <is>
          <t>TR infrastructure upgrade | replace patch panel assemblies, switching hubs, and 110-blocks in both 1F TR and 2F TR | rack work | labeling | testing complete | both TRs sized to support 70-drop Cat6 infrastructure</t>
        </is>
      </c>
      <c r="D49" s="13" t="n">
        <v>2</v>
      </c>
      <c r="E49" s="4" t="inlineStr">
        <is>
          <t>EA</t>
        </is>
      </c>
      <c r="F49" s="14" t="n">
        <v>8500</v>
      </c>
      <c r="G49" s="15">
        <f>D49*F49</f>
        <v/>
      </c>
      <c r="H49" s="10" t="inlineStr">
        <is>
          <t>D50</t>
        </is>
      </c>
      <c r="I49" s="5" t="inlineStr">
        <is>
          <t>RS Means D5030; UFC 3-580-01; TR rack infrastructure and port density confirmed from AS-BUILT COMM drawings TR elevation details; both TRs accessed 14 Mar 2026</t>
        </is>
      </c>
    </row>
    <row r="50">
      <c r="A50" s="4" t="n">
        <v>38</v>
      </c>
      <c r="B50" s="4" t="inlineStr">
        <is>
          <t>Comm</t>
        </is>
      </c>
      <c r="C50" s="5" t="inlineStr">
        <is>
          <t>Install MNS junction box and Mass Notification System infrastructure building-wide</t>
        </is>
      </c>
      <c r="D50" s="13" t="n">
        <v>1</v>
      </c>
      <c r="E50" s="4" t="inlineStr">
        <is>
          <t>LS</t>
        </is>
      </c>
      <c r="F50" s="14" t="n">
        <v>22000</v>
      </c>
      <c r="G50" s="15">
        <f>D50*F50</f>
        <v/>
      </c>
      <c r="H50" s="10" t="inlineStr">
        <is>
          <t>D50</t>
        </is>
      </c>
      <c r="I50" s="5" t="inlineStr">
        <is>
          <t>RS Means D5030; UFC 3-580-01; MNS scope confirmed as required</t>
        </is>
      </c>
    </row>
    <row r="51" ht="18" customHeight="1">
      <c r="A51" s="12" t="inlineStr">
        <is>
          <t>10.  ARCHITECTURAL - Interior Repairs and Remediation</t>
        </is>
      </c>
    </row>
    <row r="52">
      <c r="A52" s="4" t="n">
        <v>39</v>
      </c>
      <c r="B52" s="4" t="inlineStr">
        <is>
          <t>Arch</t>
        </is>
      </c>
      <c r="C52" s="5" t="inlineStr">
        <is>
          <t>Replace mold and mildew damaged ceiling tile | building-wide assessment | replacement as required</t>
        </is>
      </c>
      <c r="D52" s="13" t="n">
        <v>2500</v>
      </c>
      <c r="E52" s="4" t="inlineStr">
        <is>
          <t>SF</t>
        </is>
      </c>
      <c r="F52" s="14" t="n">
        <v>7</v>
      </c>
      <c r="G52" s="15">
        <f>D52*F52</f>
        <v/>
      </c>
      <c r="H52" s="10" t="inlineStr">
        <is>
          <t>C30</t>
        </is>
      </c>
      <c r="I52" s="5" t="inlineStr">
        <is>
          <t>RS Means C3020; UFC 3-410-01; documented mold/mildew deficiency confirmed site survey</t>
        </is>
      </c>
    </row>
    <row r="53">
      <c r="A53" s="4" t="n">
        <v>40</v>
      </c>
      <c r="B53" s="4" t="inlineStr">
        <is>
          <t>Arch</t>
        </is>
      </c>
      <c r="C53" s="5" t="inlineStr">
        <is>
          <t>Repair gypsum and concrete wall damage throughout building | patch and repair | painted finish to match</t>
        </is>
      </c>
      <c r="D53" s="13" t="n">
        <v>1</v>
      </c>
      <c r="E53" s="4" t="inlineStr">
        <is>
          <t>LS</t>
        </is>
      </c>
      <c r="F53" s="14" t="n">
        <v>20000</v>
      </c>
      <c r="G53" s="15">
        <f>D53*F53</f>
        <v/>
      </c>
      <c r="H53" s="10" t="inlineStr">
        <is>
          <t>C10</t>
        </is>
      </c>
      <c r="I53" s="5" t="inlineStr">
        <is>
          <t>RS Means C1020; documented deficiency confirmed site survey</t>
        </is>
      </c>
    </row>
    <row r="54">
      <c r="A54" s="4" t="n">
        <v>41</v>
      </c>
      <c r="B54" s="4" t="inlineStr">
        <is>
          <t>Arch</t>
        </is>
      </c>
      <c r="C54" s="5" t="inlineStr">
        <is>
          <t>Resecure anchor wire cables to exterior HVAC units | all units | hardware replacement as needed</t>
        </is>
      </c>
      <c r="D54" s="13" t="n">
        <v>1</v>
      </c>
      <c r="E54" s="4" t="inlineStr">
        <is>
          <t>LS</t>
        </is>
      </c>
      <c r="F54" s="14" t="n">
        <v>8000</v>
      </c>
      <c r="G54" s="15">
        <f>D54*F54</f>
        <v/>
      </c>
      <c r="H54" s="10" t="inlineStr">
        <is>
          <t>C10</t>
        </is>
      </c>
      <c r="I54" s="5" t="inlineStr">
        <is>
          <t>RS Means G2090; exterior ACP unit anchor wire cable deficiency confirmed site survey</t>
        </is>
      </c>
    </row>
    <row r="55">
      <c r="A55" s="4" t="n">
        <v>42</v>
      </c>
      <c r="B55" s="4" t="inlineStr">
        <is>
          <t>Arch</t>
        </is>
      </c>
      <c r="C55" s="5" t="inlineStr">
        <is>
          <t>Deep clean all restrooms | mold and mildew remediation | surfaces, fixtures, and drain areas complete</t>
        </is>
      </c>
      <c r="D55" s="13" t="n">
        <v>1</v>
      </c>
      <c r="E55" s="4" t="inlineStr">
        <is>
          <t>LS</t>
        </is>
      </c>
      <c r="F55" s="14" t="n">
        <v>15000</v>
      </c>
      <c r="G55" s="15">
        <f>D55*F55</f>
        <v/>
      </c>
      <c r="H55" s="10" t="inlineStr">
        <is>
          <t>C10</t>
        </is>
      </c>
      <c r="I55" s="5" t="inlineStr">
        <is>
          <t>RS Means Z0040; documented mold/mildew remediation requirement confirmed site survey</t>
        </is>
      </c>
    </row>
    <row r="57">
      <c r="A57" s="7" t="inlineStr">
        <is>
          <t>TOTAL BASE DIRECT COST (FY24 CONUS)</t>
        </is>
      </c>
      <c r="G57" s="6">
        <f>SUM(G5:G55)</f>
        <v/>
      </c>
    </row>
  </sheetData>
  <mergeCells count="13">
    <mergeCell ref="A2:I2"/>
    <mergeCell ref="A33:I33"/>
    <mergeCell ref="A51:I51"/>
    <mergeCell ref="A20:I20"/>
    <mergeCell ref="A46:I46"/>
    <mergeCell ref="A1:I1"/>
    <mergeCell ref="A40:I40"/>
    <mergeCell ref="A31:I31"/>
    <mergeCell ref="A35:I35"/>
    <mergeCell ref="A4:I4"/>
    <mergeCell ref="A26:I26"/>
    <mergeCell ref="A38:I38"/>
    <mergeCell ref="A57:F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SCH-3270  |  COST ESTIMATE PARAMETERS  |  LEVEL 3 ROM  |  FY27  |  PAX ID 387568  |  Fi Web BU26PPE74M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SCH-3270  |  Repair AUTO ORGANIZATIONAL SHOP CAB</t>
        </is>
      </c>
      <c r="C4" s="4" t="inlineStr">
        <is>
          <t>Text</t>
        </is>
      </c>
      <c r="D4" s="5" t="inlineStr">
        <is>
          <t>DD Form 1391  |  PAX ID 387568  |  Fi Web BU26PPE74M</t>
        </is>
      </c>
    </row>
    <row r="5">
      <c r="A5" s="8" t="inlineStr">
        <is>
          <t>Building / Installation</t>
        </is>
      </c>
      <c r="B5" s="5" t="inlineStr">
        <is>
          <t>SCH-3270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CLB-4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387568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BU26PPE74M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1174058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21451</v>
      </c>
      <c r="C10" s="4" t="inlineStr">
        <is>
          <t>CCN</t>
        </is>
      </c>
      <c r="D10" s="5" t="inlineStr">
        <is>
          <t>iNFADS CCN 21451</t>
        </is>
      </c>
    </row>
    <row r="11">
      <c r="A11" s="8" t="inlineStr">
        <is>
          <t>Total Building GSF</t>
        </is>
      </c>
      <c r="B11" s="5" t="n">
        <v>25390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39507617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SCOPE_DETAIL!G57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3527753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(PAX paste)</t>
        </is>
      </c>
      <c r="B36" s="6">
        <f>B35/1.23552</f>
        <v/>
      </c>
      <c r="C36" s="4" t="inlineStr">
        <is>
          <t>$</t>
        </is>
      </c>
      <c r="D36" s="5" t="inlineStr">
        <is>
          <t>Locked TPC / 1.23552  (1.10 x 1.08 x 1.04)</t>
        </is>
      </c>
    </row>
    <row r="37">
      <c r="A37" s="8" t="inlineStr">
        <is>
          <t>Cost Adjustment Factor</t>
        </is>
      </c>
      <c r="B37" s="19">
        <f>B36/B34</f>
        <v/>
      </c>
      <c r="C37" s="4" t="inlineStr">
        <is>
          <t>Factor</t>
        </is>
      </c>
      <c r="D37" s="5" t="inlineStr">
        <is>
          <t>Items Subtotal Target / Pre-Calibration Subtotal; calibrates ROM chain to locked TPC</t>
        </is>
      </c>
    </row>
    <row r="39">
      <c r="A39" s="2" t="inlineStr">
        <is>
          <t>PLANNING RATES</t>
        </is>
      </c>
    </row>
    <row r="40">
      <c r="A40" s="8" t="inlineStr">
        <is>
          <t>JPY/USD Planning Rate</t>
        </is>
      </c>
      <c r="B40" s="20" t="n">
        <v>150.4415</v>
      </c>
      <c r="C40" s="4" t="inlineStr">
        <is>
          <t>Rate</t>
        </is>
      </c>
      <c r="D40" s="5" t="inlineStr">
        <is>
          <t>FY26 budget planning rate; H.10 live rate at PAX submission</t>
        </is>
      </c>
    </row>
    <row r="42">
      <c r="A42" s="2" t="inlineStr">
        <is>
          <t>ACTIVE REFERENCES</t>
        </is>
      </c>
    </row>
    <row r="43">
      <c r="A43" s="5" t="inlineStr">
        <is>
          <t>MCO 11000.5 (03 Jun 2016)  |  Real Property FSRM Program</t>
        </is>
      </c>
    </row>
    <row r="44">
      <c r="A44" s="5" t="inlineStr">
        <is>
          <t>MCO 11000.12 (08 Sep 2014)  |  Real Property Facilities Manual</t>
        </is>
      </c>
    </row>
    <row r="45">
      <c r="A45" s="5" t="inlineStr">
        <is>
          <t>Consistency Review Board Guidelines (May 2024, REV #15)  |  DD Form 1391 line-item sequencing</t>
        </is>
      </c>
    </row>
    <row r="46">
      <c r="A46" s="5" t="inlineStr">
        <is>
          <t>UFC 3-701-01 with Change 7 (25 Jul 2025)  |  PUC, ACF, PRV authority</t>
        </is>
      </c>
    </row>
    <row r="47">
      <c r="A47" s="5" t="inlineStr">
        <is>
          <t>UFC 3-730-01 (2024)  |  Design-Build contracting</t>
        </is>
      </c>
    </row>
    <row r="48">
      <c r="A48" s="5" t="inlineStr">
        <is>
          <t>UFS 3-740-05 (02 Feb 2026)  |  Cost estimating ROM levels</t>
        </is>
      </c>
    </row>
    <row r="49">
      <c r="A49" s="5" t="inlineStr">
        <is>
          <t>JED Cost Estimating Guidance (Combined, Nov 2025)</t>
        </is>
      </c>
    </row>
    <row r="50">
      <c r="A50" s="5" t="inlineStr">
        <is>
          <t>Japan District Design Guide v9 (April 2025)</t>
        </is>
      </c>
    </row>
    <row r="51">
      <c r="A51" s="5" t="inlineStr">
        <is>
          <t>10 U.S.C. Section 2802  |  DoD 4270.5-M  |  Classification of Work</t>
        </is>
      </c>
    </row>
  </sheetData>
  <mergeCells count="16">
    <mergeCell ref="A1:D1"/>
    <mergeCell ref="A17:D17"/>
    <mergeCell ref="A45:D45"/>
    <mergeCell ref="A31:D31"/>
    <mergeCell ref="A50:D50"/>
    <mergeCell ref="A48:D48"/>
    <mergeCell ref="A3:D3"/>
    <mergeCell ref="A39:D39"/>
    <mergeCell ref="A25:D25"/>
    <mergeCell ref="A43:D43"/>
    <mergeCell ref="A51:D51"/>
    <mergeCell ref="A49:D49"/>
    <mergeCell ref="A47:D47"/>
    <mergeCell ref="A42:D42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SCH-3270  |  DD FORM 1391 BLOCK 9 - PAX PASTE  |  LEVEL 3 ROM  |  FY27  |  PAX ID 387568  |  Fi Web BU26PPE74M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B20  |  Exterior Enclosure</t>
        </is>
      </c>
      <c r="B4" s="6">
        <f>ROUND( SUMIF(SCOPE_DETAIL!H:H,"B20",SCOPE_DETAIL!G:G) * (PARAMETERS!B34/PARAMETERS!B33) * PARAMETERS!B37 / 1000, 0)</f>
        <v/>
      </c>
      <c r="C4" s="5" t="inlineStr">
        <is>
          <t>UNIFORMAT II Lv2 B20 rollup; absorbs base-cost adjustments via Cost Adjustment Factor</t>
        </is>
      </c>
    </row>
    <row r="5">
      <c r="A5" s="8" t="inlineStr">
        <is>
          <t>C10  |  Interior Construction</t>
        </is>
      </c>
      <c r="B5" s="6">
        <f>ROUND( SUMIF(SCOPE_DETAIL!H:H,"C10",SCOPE_DETAIL!G:G) * (PARAMETERS!B34/PARAMETERS!B33) * PARAMETERS!B37 / 1000, 0)</f>
        <v/>
      </c>
      <c r="C5" s="5" t="inlineStr">
        <is>
          <t>UNIFORMAT II Lv2 C10 rollup; absorbs base-cost adjustments via Cost Adjustment Factor</t>
        </is>
      </c>
    </row>
    <row r="6">
      <c r="A6" s="8" t="inlineStr">
        <is>
          <t>C30  |  Interior Finishes</t>
        </is>
      </c>
      <c r="B6" s="6">
        <f>ROUND( SUMIF(SCOPE_DETAIL!H:H,"C30",SCOPE_DETAIL!G:G) * (PARAMETERS!B34/PARAMETERS!B33) * PARAMETERS!B37 / 1000, 0)</f>
        <v/>
      </c>
      <c r="C6" s="5" t="inlineStr">
        <is>
          <t>UNIFORMAT II Lv2 C30 rollup; absorbs base-cost adjustments via Cost Adjustment Factor</t>
        </is>
      </c>
    </row>
    <row r="7">
      <c r="A7" s="8" t="inlineStr">
        <is>
          <t>D20  |  Plumbing</t>
        </is>
      </c>
      <c r="B7" s="6">
        <f>ROUND( SUMIF(SCOPE_DETAIL!H:H,"D20",SCOPE_DETAIL!G:G) * (PARAMETERS!B34/PARAMETERS!B33) * PARAMETERS!B37 / 1000, 0)</f>
        <v/>
      </c>
      <c r="C7" s="5" t="inlineStr">
        <is>
          <t>UNIFORMAT II Lv2 D20 rollup; absorbs base-cost adjustments via Cost Adjustment Factor</t>
        </is>
      </c>
    </row>
    <row r="8">
      <c r="A8" s="8" t="inlineStr">
        <is>
          <t>D30  |  HVAC / Mechanical</t>
        </is>
      </c>
      <c r="B8" s="6">
        <f>ROUND( SUMIF(SCOPE_DETAIL!H:H,"D30",SCOPE_DETAIL!G:G) * (PARAMETERS!B34/PARAMETERS!B33) * PARAMETERS!B37 / 1000, 0)</f>
        <v/>
      </c>
      <c r="C8" s="5" t="inlineStr">
        <is>
          <t>UNIFORMAT II Lv2 D30 rollup; absorbs base-cost adjustments via Cost Adjustment Factor</t>
        </is>
      </c>
    </row>
    <row r="9">
      <c r="A9" s="8" t="inlineStr">
        <is>
          <t>D50  |  Electrical / Communications</t>
        </is>
      </c>
      <c r="B9" s="6">
        <f>ROUND( SUMIF(SCOPE_DETAIL!H:H,"D50",SCOPE_DETAIL!G:G) * (PARAMETERS!B34/PARAMETERS!B33) * PARAMETERS!B37 / 1000, 0)</f>
        <v/>
      </c>
      <c r="C9" s="5" t="inlineStr">
        <is>
          <t>UNIFORMAT II Lv2 D50 rollup; absorbs base-cost adjustments via Cost Adjustment Factor</t>
        </is>
      </c>
    </row>
    <row r="10">
      <c r="A10" s="7" t="inlineStr">
        <is>
          <t>ITEMS SUBTOTAL  (PAX Block 9 paste total)</t>
        </is>
      </c>
      <c r="B10" s="6">
        <f>SUM(B4:B9)</f>
        <v/>
      </c>
      <c r="C10" s="5" t="inlineStr">
        <is>
          <t>Sum of discipline rollups; this is the value pasted into PAX items table</t>
        </is>
      </c>
    </row>
    <row r="12">
      <c r="A12" s="8" t="inlineStr">
        <is>
          <t>Contingency (10.0%)  PAX-applied</t>
        </is>
      </c>
      <c r="B12" s="6">
        <f>B10*0.10</f>
        <v/>
      </c>
      <c r="C12" s="5" t="inlineStr">
        <is>
          <t>10% of items subtotal; FSRM program-directed</t>
        </is>
      </c>
    </row>
    <row r="13">
      <c r="A13" s="8" t="inlineStr">
        <is>
          <t>Total Contract Cost</t>
        </is>
      </c>
      <c r="B13" s="6">
        <f>B10*1.10</f>
        <v/>
      </c>
      <c r="C13" s="5" t="inlineStr">
        <is>
          <t>Items subtotal x 1.10</t>
        </is>
      </c>
    </row>
    <row r="14">
      <c r="A14" s="8" t="inlineStr">
        <is>
          <t>SIOH (8.0%)  PAX-applied</t>
        </is>
      </c>
      <c r="B14" s="6">
        <f>B10*1.10*0.08</f>
        <v/>
      </c>
      <c r="C14" s="5" t="inlineStr">
        <is>
          <t>8% of TCC; OCONUS FSRM customer-directed</t>
        </is>
      </c>
    </row>
    <row r="15">
      <c r="A15" s="8" t="inlineStr">
        <is>
          <t>Total Funded Cost</t>
        </is>
      </c>
      <c r="B15" s="6">
        <f>B10*1.10*1.08</f>
        <v/>
      </c>
      <c r="C15" s="5" t="inlineStr">
        <is>
          <t>TCC x 1.08</t>
        </is>
      </c>
    </row>
    <row r="16">
      <c r="A16" s="8" t="inlineStr">
        <is>
          <t>DB Design (4.0%)  PAX-applied</t>
        </is>
      </c>
      <c r="B16" s="6">
        <f>B10*1.10*1.08*0.04</f>
        <v/>
      </c>
      <c r="C16" s="5" t="inlineStr">
        <is>
          <t>4% of TFC; UFC 3-730-01 (2024)</t>
        </is>
      </c>
    </row>
    <row r="17">
      <c r="A17" s="8" t="inlineStr">
        <is>
          <t>TOTAL PROJECT COST</t>
        </is>
      </c>
      <c r="B17" s="6">
        <f>B10*1.23552</f>
        <v/>
      </c>
      <c r="C17" s="5" t="inlineStr">
        <is>
          <t>TFC x 1.04 = items subtotal x 1.23552</t>
        </is>
      </c>
    </row>
    <row r="18">
      <c r="A18" s="7" t="inlineStr">
        <is>
          <t>TOTAL PROJECT COST  ($000 rounded)</t>
        </is>
      </c>
      <c r="B18" s="22">
        <f>ROUND(B17,0)</f>
        <v/>
      </c>
      <c r="C18" s="5" t="inlineStr">
        <is>
          <t>Printed TPC on DD Form 1391 face</t>
        </is>
      </c>
    </row>
    <row r="20">
      <c r="A20" s="23" t="inlineStr">
        <is>
          <t>Planning and Design (6.0%)  NON ADD</t>
        </is>
      </c>
      <c r="B20" s="24">
        <f>ROUND(B10*0.06,0)</f>
        <v/>
      </c>
      <c r="C20" s="25" t="inlineStr">
        <is>
          <t>Informational; does not roll into TPC; PAX renders separately on form</t>
        </is>
      </c>
    </row>
    <row r="22">
      <c r="A22" s="8" t="inlineStr">
        <is>
          <t>Reconciliation (must equal 0)</t>
        </is>
      </c>
      <c r="B22" s="9">
        <f>B18-ROUND(PARAMETERS!B35/1000,0)</f>
        <v/>
      </c>
      <c r="C22" s="5" t="inlineStr">
        <is>
          <t>Printed TPC ($000) minus Locked TPC ($000)</t>
        </is>
      </c>
    </row>
    <row r="24">
      <c r="A24" s="2" t="inlineStr">
        <is>
          <t>CLASSIFICATION OF WORK</t>
        </is>
      </c>
    </row>
    <row r="25">
      <c r="A25" s="8" t="inlineStr">
        <is>
          <t>Construction</t>
        </is>
      </c>
      <c r="B25" s="15">
        <f>B18</f>
        <v/>
      </c>
      <c r="C25" s="5" t="inlineStr">
        <is>
          <t>100% of Total Project Cost  |  10 U.S.C. Section 2802</t>
        </is>
      </c>
    </row>
    <row r="26">
      <c r="A26" s="8" t="inlineStr">
        <is>
          <t>Special Interest: Restoration and Modernization</t>
        </is>
      </c>
      <c r="B26" s="15">
        <f>B18</f>
        <v/>
      </c>
      <c r="C26" s="5" t="inlineStr">
        <is>
          <t>100% SRM  |  MCO 11000.12  |  DoD 4270.5-M</t>
        </is>
      </c>
    </row>
  </sheetData>
  <mergeCells count="3">
    <mergeCell ref="A1:C1"/>
    <mergeCell ref="A24:C2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2026-04-29T22:03:41Z</dcterms:created>
  <dcterms:modified xsi:type="dcterms:W3CDTF">2026-04-29T22:03:41Z</dcterms:modified>
</cp:coreProperties>
</file>