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SCOPE_DETAIL" sheetId="2" state="visible" r:id="rId2"/>
    <sheet name="PARAMETERS" sheetId="3" state="visible" r:id="rId3"/>
    <sheet name="DD1391_BLOCK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0.000"/>
    <numFmt numFmtId="166" formatCode="0.0%"/>
    <numFmt numFmtId="167" formatCode="0.0000"/>
    <numFmt numFmtId="168" formatCode="#,##0;[Red]-#,##0;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FCC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AA9D6"/>
      </left>
      <right style="thin">
        <color rgb="008AA9D6"/>
      </right>
      <top style="thin">
        <color rgb="008AA9D6"/>
      </top>
      <bottom style="thin">
        <color rgb="008AA9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168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0" pivotButton="0" quotePrefix="0" xfId="0"/>
    <xf numFmtId="164" fontId="5" fillId="5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1" fontId="5" fillId="5" borderId="1" applyAlignment="1" pivotButton="0" quotePrefix="0" xfId="0">
      <alignment horizontal="right" vertical="center" wrapText="1"/>
    </xf>
    <xf numFmtId="166" fontId="5" fillId="4" borderId="1" applyAlignment="1" pivotButton="0" quotePrefix="0" xfId="0">
      <alignment horizontal="right" vertical="center" wrapText="1"/>
    </xf>
    <xf numFmtId="167" fontId="6" fillId="3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vertical="center" wrapText="1"/>
    </xf>
    <xf numFmtId="3" fontId="3" fillId="2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70" customWidth="1" min="4" max="4"/>
  </cols>
  <sheetData>
    <row r="1" ht="24" customHeight="1">
      <c r="A1" s="1" t="inlineStr">
        <is>
          <t>SCH-3237  |  ROM COST ESTIMATE  |  LEVEL 3  |  FY27  |  PAX ID 387622  |  Fi Web BU26PPE73M</t>
        </is>
      </c>
    </row>
    <row r="3">
      <c r="A3" s="2" t="inlineStr">
        <is>
          <t>A.  ROM FORMULA CHAIN  (live formulas reference PARAMETERS tab)</t>
        </is>
      </c>
    </row>
    <row r="4">
      <c r="A4" s="3" t="inlineStr">
        <is>
          <t>Step</t>
        </is>
      </c>
      <c r="B4" s="3" t="inlineStr">
        <is>
          <t>Element</t>
        </is>
      </c>
      <c r="C4" s="3" t="inlineStr">
        <is>
          <t>Amount ($)</t>
        </is>
      </c>
      <c r="D4" s="3" t="inlineStr">
        <is>
          <t>Formula / Source</t>
        </is>
      </c>
    </row>
    <row r="5">
      <c r="A5" s="4" t="n">
        <v>1</v>
      </c>
      <c r="B5" s="5" t="inlineStr">
        <is>
          <t>Base Direct Cost (FY24 CONUS)</t>
        </is>
      </c>
      <c r="C5" s="6">
        <f>PARAMETERS!B33</f>
        <v/>
      </c>
      <c r="D5" s="5" t="inlineStr">
        <is>
          <t>Sum of all scope items on SCOPE_DETAIL</t>
        </is>
      </c>
    </row>
    <row r="6">
      <c r="A6" s="4" t="n">
        <v>2</v>
      </c>
      <c r="B6" s="5" t="inlineStr">
        <is>
          <t>x ACF 1.85  (Camp Schwab Okinawa)</t>
        </is>
      </c>
      <c r="C6" s="6">
        <f>C5*1.85</f>
        <v/>
      </c>
      <c r="D6" s="5" t="inlineStr">
        <is>
          <t>UFC 3-701-01 w/Ch 7 (25 Jul 2025), Table 4-1</t>
        </is>
      </c>
    </row>
    <row r="7">
      <c r="A7" s="4" t="n">
        <v>3</v>
      </c>
      <c r="B7" s="5" t="inlineStr">
        <is>
          <t>x Compound Escalation Factor</t>
        </is>
      </c>
      <c r="C7" s="6">
        <f>C6*PARAMETERS!B32</f>
        <v/>
      </c>
      <c r="D7" s="5" t="inlineStr">
        <is>
          <t>OSD FY25 published rate; FY24 to FY27</t>
        </is>
      </c>
    </row>
    <row r="8">
      <c r="A8" s="4" t="n">
        <v>4</v>
      </c>
      <c r="B8" s="5" t="inlineStr">
        <is>
          <t>x (1 + General Requirements 10%)</t>
        </is>
      </c>
      <c r="C8" s="6">
        <f>C7*1.10</f>
        <v/>
      </c>
      <c r="D8" s="5" t="inlineStr">
        <is>
          <t>FSRM program-directed; UFS 3-740-05</t>
        </is>
      </c>
    </row>
    <row r="9">
      <c r="A9" s="4" t="n">
        <v>5</v>
      </c>
      <c r="B9" s="5" t="inlineStr">
        <is>
          <t>x Cost Adjustment Factor (calibrated)</t>
        </is>
      </c>
      <c r="C9" s="6">
        <f>C8*PARAMETERS!B37</f>
        <v/>
      </c>
      <c r="D9" s="5" t="inlineStr">
        <is>
          <t>Calibrates ROM chain to locked TPC; absorbs base-cost adjustments</t>
        </is>
      </c>
    </row>
    <row r="10">
      <c r="A10" s="5" t="inlineStr"/>
      <c r="B10" s="7" t="inlineStr">
        <is>
          <t>ITEMS SUBTOTAL  (PAX Block 9 paste total)</t>
        </is>
      </c>
      <c r="C10" s="6">
        <f>C9</f>
        <v/>
      </c>
      <c r="D10" s="5" t="inlineStr">
        <is>
          <t>Equals Locked TPC / 1.23552</t>
        </is>
      </c>
    </row>
    <row r="12">
      <c r="A12" s="2" t="inlineStr">
        <is>
          <t>B.  PAX ROLLUP VERIFICATION  (mirrors what PAX prints on the form)</t>
        </is>
      </c>
    </row>
    <row r="13">
      <c r="A13" s="3" t="inlineStr">
        <is>
          <t>Step</t>
        </is>
      </c>
      <c r="B13" s="3" t="inlineStr">
        <is>
          <t>Element</t>
        </is>
      </c>
      <c r="C13" s="3" t="inlineStr">
        <is>
          <t>Amount ($)</t>
        </is>
      </c>
      <c r="D13" s="3" t="inlineStr">
        <is>
          <t>Formula / Source</t>
        </is>
      </c>
    </row>
    <row r="14">
      <c r="B14" s="8" t="inlineStr">
        <is>
          <t>Items Subtotal</t>
        </is>
      </c>
      <c r="C14" s="6">
        <f>C10</f>
        <v/>
      </c>
      <c r="D14" s="5" t="inlineStr">
        <is>
          <t>From Section A</t>
        </is>
      </c>
    </row>
    <row r="15">
      <c r="B15" s="8" t="inlineStr">
        <is>
          <t>+ Contingency (10.0%)  PAX-applied</t>
        </is>
      </c>
      <c r="C15" s="6">
        <f>C10*0.10</f>
        <v/>
      </c>
      <c r="D15" s="5" t="inlineStr">
        <is>
          <t>FSRM program-directed</t>
        </is>
      </c>
    </row>
    <row r="16">
      <c r="B16" s="8">
        <f> Total Contract Cost</f>
        <v/>
      </c>
      <c r="C16" s="6">
        <f>C10*1.10</f>
        <v/>
      </c>
      <c r="D16" s="5" t="inlineStr">
        <is>
          <t>Items Subtotal x 1.10</t>
        </is>
      </c>
    </row>
    <row r="17">
      <c r="B17" s="8" t="inlineStr">
        <is>
          <t>+ SIOH (8.0%)  PAX-applied</t>
        </is>
      </c>
      <c r="C17" s="6">
        <f>C10*1.10*0.08</f>
        <v/>
      </c>
      <c r="D17" s="5" t="inlineStr">
        <is>
          <t>OCONUS FSRM customer-directed</t>
        </is>
      </c>
    </row>
    <row r="18">
      <c r="B18" s="8">
        <f> Total Funded Cost</f>
        <v/>
      </c>
      <c r="C18" s="6">
        <f>C10*1.10*1.08</f>
        <v/>
      </c>
      <c r="D18" s="5" t="inlineStr">
        <is>
          <t>TCC x 1.08</t>
        </is>
      </c>
    </row>
    <row r="19">
      <c r="B19" s="8" t="inlineStr">
        <is>
          <t>+ DB Design (4.0%)  PAX-applied</t>
        </is>
      </c>
      <c r="C19" s="6">
        <f>C10*1.10*1.08*0.04</f>
        <v/>
      </c>
      <c r="D19" s="5" t="inlineStr">
        <is>
          <t>UFC 3-730-01 (2024)</t>
        </is>
      </c>
    </row>
    <row r="20">
      <c r="B20" s="8">
        <f> TOTAL PROJECT COST</f>
        <v/>
      </c>
      <c r="C20" s="6">
        <f>C10*1.23552</f>
        <v/>
      </c>
      <c r="D20" s="5" t="inlineStr">
        <is>
          <t>TFC x 1.04</t>
        </is>
      </c>
    </row>
    <row r="21">
      <c r="B21" s="8" t="inlineStr">
        <is>
          <t>TOTAL PROJECT COST ($000 rounded)</t>
        </is>
      </c>
      <c r="C21" s="6">
        <f>ROUND(C20/1000,0)</f>
        <v/>
      </c>
      <c r="D21" s="5" t="inlineStr">
        <is>
          <t>Printed face value on DD Form 1391</t>
        </is>
      </c>
    </row>
    <row r="22">
      <c r="B22" s="8" t="inlineStr">
        <is>
          <t>Locked TPC ($000 rounded)</t>
        </is>
      </c>
      <c r="C22" s="6">
        <f>ROUND(PARAMETERS!B35/1000,0)</f>
        <v/>
      </c>
      <c r="D22" s="5" t="inlineStr">
        <is>
          <t>Reconciliation target</t>
        </is>
      </c>
    </row>
    <row r="23">
      <c r="B23" s="8" t="inlineStr">
        <is>
          <t>Reconciliation (must equal 0)</t>
        </is>
      </c>
      <c r="C23" s="9">
        <f>C21-C22</f>
        <v/>
      </c>
      <c r="D23" s="5" t="inlineStr">
        <is>
          <t>Printed minus Locked</t>
        </is>
      </c>
    </row>
    <row r="24">
      <c r="B24" s="8" t="inlineStr">
        <is>
          <t>Planning and Design (6.0%)  NON ADD</t>
        </is>
      </c>
      <c r="C24" s="6">
        <f>C10*0.06</f>
        <v/>
      </c>
      <c r="D24" s="5" t="inlineStr">
        <is>
          <t>Informational; does not roll into TPC</t>
        </is>
      </c>
    </row>
    <row r="26">
      <c r="A26" s="2" t="inlineStr">
        <is>
          <t>C.  UNIFORMAT II LV2 SUMMARY  (Base Direct pre-ACF, by category)</t>
        </is>
      </c>
    </row>
    <row r="27">
      <c r="A27" s="3" t="inlineStr">
        <is>
          <t>Code</t>
        </is>
      </c>
      <c r="B27" s="3" t="inlineStr">
        <is>
          <t>Category</t>
        </is>
      </c>
      <c r="C27" s="3" t="inlineStr">
        <is>
          <t>Base Direct ($)</t>
        </is>
      </c>
      <c r="D27" s="3" t="inlineStr">
        <is>
          <t>Description</t>
        </is>
      </c>
    </row>
    <row r="28">
      <c r="A28" s="10" t="inlineStr">
        <is>
          <t>C10</t>
        </is>
      </c>
      <c r="B28" s="5" t="inlineStr">
        <is>
          <t>Interior Construction</t>
        </is>
      </c>
      <c r="C28" s="6">
        <f>SUMIF(SCOPE_DETAIL!H:H,"C10",SCOPE_DETAIL!G:G)</f>
        <v/>
      </c>
      <c r="D28" s="5" t="inlineStr">
        <is>
          <t>5 scope item(s)</t>
        </is>
      </c>
    </row>
    <row r="29">
      <c r="A29" s="10" t="inlineStr">
        <is>
          <t>D30</t>
        </is>
      </c>
      <c r="B29" s="5" t="inlineStr">
        <is>
          <t>HVAC / Mechanical</t>
        </is>
      </c>
      <c r="C29" s="6">
        <f>SUMIF(SCOPE_DETAIL!H:H,"D30",SCOPE_DETAIL!G:G)</f>
        <v/>
      </c>
      <c r="D29" s="5" t="inlineStr">
        <is>
          <t>1 scope item(s)</t>
        </is>
      </c>
    </row>
    <row r="30">
      <c r="A30" s="10" t="inlineStr">
        <is>
          <t>D50</t>
        </is>
      </c>
      <c r="B30" s="5" t="inlineStr">
        <is>
          <t>Electrical / Communications</t>
        </is>
      </c>
      <c r="C30" s="6">
        <f>SUMIF(SCOPE_DETAIL!H:H,"D50",SCOPE_DETAIL!G:G)</f>
        <v/>
      </c>
      <c r="D30" s="5" t="inlineStr">
        <is>
          <t>4 scope item(s)</t>
        </is>
      </c>
    </row>
    <row r="31">
      <c r="A31" s="10" t="inlineStr">
        <is>
          <t>F10</t>
        </is>
      </c>
      <c r="B31" s="5" t="inlineStr">
        <is>
          <t>Hazardous Material Abatement</t>
        </is>
      </c>
      <c r="C31" s="6">
        <f>SUMIF(SCOPE_DETAIL!H:H,"F10",SCOPE_DETAIL!G:G)</f>
        <v/>
      </c>
      <c r="D31" s="5" t="inlineStr">
        <is>
          <t>5 scope item(s)</t>
        </is>
      </c>
    </row>
    <row r="32">
      <c r="A32" s="5" t="inlineStr"/>
      <c r="B32" s="7" t="inlineStr">
        <is>
          <t>TOTAL BASE DIRECT (must equal Section A row 5)</t>
        </is>
      </c>
      <c r="C32" s="6">
        <f>SUM(C28:C31)</f>
        <v/>
      </c>
    </row>
    <row r="34">
      <c r="A34" s="2" t="inlineStr">
        <is>
          <t>D.  METHODOLOGY</t>
        </is>
      </c>
    </row>
    <row r="35" ht="18" customHeight="1">
      <c r="A35" s="8" t="inlineStr">
        <is>
          <t>Estimate Level</t>
        </is>
      </c>
      <c r="B35" s="5" t="inlineStr">
        <is>
          <t>Level 3 ROM per UFS 3-740-05 (02 Feb 2026). Non-mandatory supplement; for information only.</t>
        </is>
      </c>
    </row>
    <row r="36" ht="18" customHeight="1">
      <c r="A36" s="8" t="inlineStr">
        <is>
          <t>Scope Basis</t>
        </is>
      </c>
      <c r="B36" s="5" t="inlineStr">
        <is>
          <t>15 discrete work items across 4 UNIFORMAT II Lv2 categories. Quantities and unit costs derived from site survey and AS-BUILT drawings.</t>
        </is>
      </c>
    </row>
    <row r="37" ht="18" customHeight="1">
      <c r="A37" s="8" t="inlineStr">
        <is>
          <t>Area Cost Factor</t>
        </is>
      </c>
      <c r="B37" s="5" t="inlineStr">
        <is>
          <t>1.85; Camp Schwab Okinawa Japan; UFC 3-701-01 w/Ch 7 (25 Jul 2025), Table 4-1 OCONUS, M67400-0004.</t>
        </is>
      </c>
    </row>
    <row r="38" ht="18" customHeight="1">
      <c r="A38" s="8" t="inlineStr">
        <is>
          <t>Escalation</t>
        </is>
      </c>
      <c r="B38" s="5" t="inlineStr">
        <is>
          <t>2.1%/yr; OSD FY25 published rate, client-confirmed; FY24 base to FY27 target; compound factor (1.021)^3 = 1.0643.</t>
        </is>
      </c>
    </row>
    <row r="39" ht="18" customHeight="1">
      <c r="A39" s="8" t="inlineStr">
        <is>
          <t>General Requirements</t>
        </is>
      </c>
      <c r="B39" s="5" t="inlineStr">
        <is>
          <t>10.0%; FSRM program-directed; UFS 3-740-05.</t>
        </is>
      </c>
    </row>
    <row r="40" ht="18" customHeight="1">
      <c r="A40" s="8" t="inlineStr">
        <is>
          <t>PAX Associated Costs</t>
        </is>
      </c>
      <c r="B40" s="5" t="inlineStr">
        <is>
          <t>Contingency 10%, SIOH 8% (OCONUS FSRM customer-directed), DB Design 4%; combined multiplier 1.23552. Planning and Design 6% NON ADD; informational only.</t>
        </is>
      </c>
    </row>
    <row r="41" ht="18" customHeight="1">
      <c r="A41" s="8" t="inlineStr">
        <is>
          <t>Cost Adjustment Factor</t>
        </is>
      </c>
      <c r="B41" s="5" t="inlineStr">
        <is>
          <t>Live formula in PARAMETERS reconciles the ROM chain to the locked Total Project Cost. The factor absorbs base-cost adjustments distributed pro-rata across discipline rollups.</t>
        </is>
      </c>
    </row>
    <row r="42" ht="18" customHeight="1">
      <c r="A42" s="8" t="inlineStr">
        <is>
          <t>Unit Cost Basis</t>
        </is>
      </c>
      <c r="B42" s="5" t="inlineStr">
        <is>
          <t>FY24 CONUS pre-ACF assembly-level unit costs per RS Means; UFC 3-410-01 / 3-420-01 / 3-520-01 / 3-530-01 / 3-580-01 as applicable.</t>
        </is>
      </c>
    </row>
    <row r="43" ht="18" customHeight="1">
      <c r="A43" s="8" t="inlineStr">
        <is>
          <t>Items Requiring Verification</t>
        </is>
      </c>
      <c r="B43" s="5" t="inlineStr">
        <is>
          <t>JPY/USD exchange rate per Federal Reserve H.10 on date of PAX submission.</t>
        </is>
      </c>
    </row>
    <row r="44" ht="18" customHeight="1">
      <c r="A44" s="8" t="inlineStr">
        <is>
          <t>Prepared By</t>
        </is>
      </c>
      <c r="B44" s="5" t="inlineStr">
        <is>
          <t>Anthony L. Potter  |  Facilities Planner  |  MCIPAC G-F PPE  |  29 Apr 2026</t>
        </is>
      </c>
    </row>
    <row r="46">
      <c r="A46" s="2" t="inlineStr">
        <is>
          <t>E.  VERSION HISTORY</t>
        </is>
      </c>
    </row>
    <row r="47">
      <c r="A47" s="3" t="inlineStr">
        <is>
          <t>Version</t>
        </is>
      </c>
      <c r="B47" s="3" t="inlineStr">
        <is>
          <t>Date</t>
        </is>
      </c>
      <c r="C47" s="3" t="inlineStr">
        <is>
          <t>Total Project Cost ($)</t>
        </is>
      </c>
      <c r="D47" s="3" t="inlineStr">
        <is>
          <t>Notes</t>
        </is>
      </c>
    </row>
    <row r="48">
      <c r="A48" s="10" t="inlineStr">
        <is>
          <t>Current</t>
        </is>
      </c>
      <c r="B48" s="4" t="inlineStr">
        <is>
          <t>29 Apr 2026</t>
        </is>
      </c>
      <c r="C48" s="6">
        <f>C20</f>
        <v/>
      </c>
      <c r="D48" s="5" t="inlineStr">
        <is>
          <t>4-tab discipline-rollup architecture; PAX-pasteable Block 9; reconciles to locked TPC</t>
        </is>
      </c>
    </row>
  </sheetData>
  <mergeCells count="16">
    <mergeCell ref="A1:D1"/>
    <mergeCell ref="B42:D42"/>
    <mergeCell ref="B36:D36"/>
    <mergeCell ref="B37:D37"/>
    <mergeCell ref="A34:D34"/>
    <mergeCell ref="A12:D12"/>
    <mergeCell ref="B41:D41"/>
    <mergeCell ref="A26:D26"/>
    <mergeCell ref="A3:D3"/>
    <mergeCell ref="B35:D35"/>
    <mergeCell ref="B40:D40"/>
    <mergeCell ref="B44:D44"/>
    <mergeCell ref="B43:D43"/>
    <mergeCell ref="B39:D39"/>
    <mergeCell ref="A46:D46"/>
    <mergeCell ref="B38:D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0" customWidth="1" min="3" max="3"/>
    <col width="8" customWidth="1" min="4" max="4"/>
    <col width="8" customWidth="1" min="5" max="5"/>
    <col width="12" customWidth="1" min="6" max="6"/>
    <col width="14" customWidth="1" min="7" max="7"/>
    <col width="11" customWidth="1" min="8" max="8"/>
    <col width="50" customWidth="1" min="9" max="9"/>
  </cols>
  <sheetData>
    <row r="1" ht="24" customHeight="1">
      <c r="A1" s="1" t="inlineStr">
        <is>
          <t>SCH-3237  |  SCOPE DETAIL &amp; QUANTITY TAKEOFF  |  BASE YEAR FY24 CONUS DIRECT COSTS  |  Fi Web BU26PPE73M</t>
        </is>
      </c>
    </row>
    <row r="2">
      <c r="A2" s="11" t="inlineStr">
        <is>
          <t>Yellow = confirmed scope. White = formula-driven extended cost. All unit costs are FY24 CONUS pre-ACF, assembly-level RS Means basis.</t>
        </is>
      </c>
    </row>
    <row r="3" ht="30" customHeight="1">
      <c r="A3" s="3" t="inlineStr">
        <is>
          <t>Item</t>
        </is>
      </c>
      <c r="B3" s="3" t="inlineStr">
        <is>
          <t>Group</t>
        </is>
      </c>
      <c r="C3" s="3" t="inlineStr">
        <is>
          <t>Work Description</t>
        </is>
      </c>
      <c r="D3" s="3" t="inlineStr">
        <is>
          <t>Qty</t>
        </is>
      </c>
      <c r="E3" s="3" t="inlineStr">
        <is>
          <t>Unit</t>
        </is>
      </c>
      <c r="F3" s="3" t="inlineStr">
        <is>
          <t>Unit Cost
(FY24 CONUS)</t>
        </is>
      </c>
      <c r="G3" s="3" t="inlineStr">
        <is>
          <t>Extended
Cost</t>
        </is>
      </c>
      <c r="H3" s="3" t="inlineStr">
        <is>
          <t>UNIFORMAT
II Lv2</t>
        </is>
      </c>
      <c r="I3" s="3" t="inlineStr">
        <is>
          <t>Cost Basis / Notes</t>
        </is>
      </c>
    </row>
    <row r="4" ht="18" customHeight="1">
      <c r="A4" s="12" t="inlineStr">
        <is>
          <t>1.  STORAGE RECONFIGURATION - Remove/Replace Floor-to-Ceiling Wire Mesh Cage Partitions, Room 101</t>
        </is>
      </c>
    </row>
    <row r="5">
      <c r="A5" s="4" t="n">
        <v>1</v>
      </c>
      <c r="B5" s="4" t="inlineStr">
        <is>
          <t>STORAGE</t>
        </is>
      </c>
      <c r="C5" s="5" t="inlineStr">
        <is>
          <t>Remove existing floor-to-ceiling wire mesh cage partitions, Room 101 (full bay); includes disconnect, demo, and haul-off</t>
        </is>
      </c>
      <c r="D5" s="13" t="n">
        <v>1</v>
      </c>
      <c r="E5" s="4" t="inlineStr">
        <is>
          <t>LS</t>
        </is>
      </c>
      <c r="F5" s="14" t="n">
        <v>5000</v>
      </c>
      <c r="G5" s="15">
        <f>D5*F5</f>
        <v/>
      </c>
      <c r="H5" s="10" t="inlineStr">
        <is>
          <t>C10</t>
        </is>
      </c>
      <c r="I5" s="5" t="inlineStr">
        <is>
          <t>YELLOW - cage LF qty and layout unconfirmed; pending Markon floor plan field verification; UFC 3-580-01</t>
        </is>
      </c>
    </row>
    <row r="6">
      <c r="A6" s="4" t="n">
        <v>2</v>
      </c>
      <c r="B6" s="4" t="inlineStr">
        <is>
          <t>STORAGE</t>
        </is>
      </c>
      <c r="C6" s="5" t="inlineStr">
        <is>
          <t>Install new floor-to-ceiling wire mesh cage partitions, Room 101; 3 tenant zones: CLB-4 / HQ 4th MAR REGT / UDP (4th Marines); includes framing, hardware, and seismic anchoring</t>
        </is>
      </c>
      <c r="D6" s="13" t="n">
        <v>1</v>
      </c>
      <c r="E6" s="4" t="inlineStr">
        <is>
          <t>LS</t>
        </is>
      </c>
      <c r="F6" s="14" t="n">
        <v>25000</v>
      </c>
      <c r="G6" s="15">
        <f>D6*F6</f>
        <v/>
      </c>
      <c r="H6" s="10" t="inlineStr">
        <is>
          <t>C10</t>
        </is>
      </c>
      <c r="I6" s="5" t="inlineStr">
        <is>
          <t>YELLOW - zone dimensions and total LF unconfirmed; pending unit layout confirmation and design</t>
        </is>
      </c>
    </row>
    <row r="7" ht="18" customHeight="1">
      <c r="A7" s="12" t="inlineStr">
        <is>
          <t>2.  TELECOMMUNICATIONS ROOM - INTERIOR CONSTRUCTION - New TR per UFC 3-580-01 (21 Nov 2024) Para 2-3.1.2.2 &amp; MCIPAC G-6 Policy Ltr 03-2024</t>
        </is>
      </c>
    </row>
    <row r="8">
      <c r="A8" s="4" t="n">
        <v>3</v>
      </c>
      <c r="B8" s="4" t="inlineStr">
        <is>
          <t>TR-ARCH</t>
        </is>
      </c>
      <c r="C8" s="5" t="inlineStr">
        <is>
          <t>Construct new TR interior partition walls; light gauge metal framing, 5/8 in Type X gypsum board, fire-rated; room sized at approx 1.1 pct of 19,304 SF served area per UFC 3-580-01 Para 2-3.1.2.2(c); no suspended ceiling per Para 2-3.1.2.3</t>
        </is>
      </c>
      <c r="D8" s="13" t="n">
        <v>1</v>
      </c>
      <c r="E8" s="4" t="inlineStr">
        <is>
          <t>LS</t>
        </is>
      </c>
      <c r="F8" s="14" t="n">
        <v>12000</v>
      </c>
      <c r="G8" s="15">
        <f>D8*F8</f>
        <v/>
      </c>
      <c r="H8" s="10" t="inlineStr">
        <is>
          <t>C10</t>
        </is>
      </c>
      <c r="I8" s="5" t="inlineStr">
        <is>
          <t>UFC 3-580-01 Para 2-3.1.2.2 &amp; 2-3.1.2.3; NFPA 101; min room size 10 ft-6 in x 9 ft for bldgs &gt;5,000 SF</t>
        </is>
      </c>
    </row>
    <row r="9">
      <c r="A9" s="4" t="n">
        <v>4</v>
      </c>
      <c r="B9" s="4" t="inlineStr">
        <is>
          <t>TR-ARCH</t>
        </is>
      </c>
      <c r="C9" s="5" t="inlineStr">
        <is>
          <t>Install 3/4 in A-C plywood backboards (fire-retardant treated); cover three walls; 8 ft high; grade-A surface exposed; per MCIPAC G-6 Policy Ltr 03-2024 Sec 4(c)(4)</t>
        </is>
      </c>
      <c r="D9" s="13" t="n">
        <v>1</v>
      </c>
      <c r="E9" s="4" t="inlineStr">
        <is>
          <t>LS</t>
        </is>
      </c>
      <c r="F9" s="14" t="n">
        <v>3600</v>
      </c>
      <c r="G9" s="15">
        <f>D9*F9</f>
        <v/>
      </c>
      <c r="H9" s="10" t="inlineStr">
        <is>
          <t>C10</t>
        </is>
      </c>
      <c r="I9" s="5" t="inlineStr">
        <is>
          <t>MCIPAC G-6 Policy Ltr 03-2024 Sec 4(c)(4); UFC 3-580-01</t>
        </is>
      </c>
    </row>
    <row r="10">
      <c r="A10" s="4" t="n">
        <v>5</v>
      </c>
      <c r="B10" s="4" t="inlineStr">
        <is>
          <t>TR-ARCH</t>
        </is>
      </c>
      <c r="C10" s="5" t="inlineStr">
        <is>
          <t>Install fire-rated door (min 36 in x 80 in); outswing; combination type lock; holds open unassisted; no threshold; per UFC 3-580-01 Para 2-3.1.2.4 and MCIPAC G-6 Policy Ltr 03-2024 Sec 4(c)(3)</t>
        </is>
      </c>
      <c r="D10" s="13" t="n">
        <v>1</v>
      </c>
      <c r="E10" s="4" t="inlineStr">
        <is>
          <t>EA</t>
        </is>
      </c>
      <c r="F10" s="14" t="n">
        <v>2500</v>
      </c>
      <c r="G10" s="15">
        <f>D10*F10</f>
        <v/>
      </c>
      <c r="H10" s="10" t="inlineStr">
        <is>
          <t>C10</t>
        </is>
      </c>
      <c r="I10" s="5" t="inlineStr">
        <is>
          <t>UFC 3-580-01 Para 2-3.1.2.4; MCIPAC G-6 Policy Ltr 03-2024 Sec 4(c)(3); NFPA 101</t>
        </is>
      </c>
    </row>
    <row r="11" ht="18" customHeight="1">
      <c r="A11" s="12" t="inlineStr">
        <is>
          <t>3.  TELECOMMUNICATIONS ROOM - HVAC - Dedicated A/C per UFC 3-580-01 Para 2-3.1.3.3 &amp; 2-3.1.3.4</t>
        </is>
      </c>
    </row>
    <row r="12">
      <c r="A12" s="4" t="n">
        <v>6</v>
      </c>
      <c r="B12" s="4" t="inlineStr">
        <is>
          <t>TR-HVAC</t>
        </is>
      </c>
      <c r="C12" s="5" t="inlineStr">
        <is>
          <t>Install dedicated mini-split A/C unit (1.5-ton); independent 24/7/365 thermostat; NOT on building time clock or setback; positive atmospheric pressure; space and power capacity for one additional identical unit per Para 2-3.1.3.4(d) (load calculated at &lt;1 ton); includes refrigerant line, condensate, electrical connection</t>
        </is>
      </c>
      <c r="D12" s="13" t="n">
        <v>1</v>
      </c>
      <c r="E12" s="4" t="inlineStr">
        <is>
          <t>EA</t>
        </is>
      </c>
      <c r="F12" s="14" t="n">
        <v>4500</v>
      </c>
      <c r="G12" s="15">
        <f>D12*F12</f>
        <v/>
      </c>
      <c r="H12" s="10" t="inlineStr">
        <is>
          <t>D30</t>
        </is>
      </c>
      <c r="I12" s="5" t="inlineStr">
        <is>
          <t>UFC 3-580-01 Para 2-3.1.3.3 &amp; 2-3.1.3.4(d); TIA-569; ASHRAE Class B; UFC 3-410-01</t>
        </is>
      </c>
    </row>
    <row r="13" ht="18" customHeight="1">
      <c r="A13" s="12" t="inlineStr">
        <is>
          <t>4.  TELECOMMUNICATIONS ROOM - ELECTRICAL - Dedicated Panel and Wiring per UFC 3-580-01 Para 2-3.1.3.2</t>
        </is>
      </c>
    </row>
    <row r="14">
      <c r="A14" s="4" t="n">
        <v>7</v>
      </c>
      <c r="B14" s="4" t="inlineStr">
        <is>
          <t>TR-ELEC</t>
        </is>
      </c>
      <c r="C14" s="5" t="inlineStr">
        <is>
          <t>Install dedicated electrical branch circuit panel board; 100A min bus; 120/208V 3-phase; 24-space; feed all TR loads from dedicated panel per UFC 3-580-01 Para 2-3.1.3.2; includes panel, breakers, grounding</t>
        </is>
      </c>
      <c r="D14" s="13" t="n">
        <v>1</v>
      </c>
      <c r="E14" s="4" t="inlineStr">
        <is>
          <t>EA</t>
        </is>
      </c>
      <c r="F14" s="14" t="n">
        <v>3500</v>
      </c>
      <c r="G14" s="15">
        <f>D14*F14</f>
        <v/>
      </c>
      <c r="H14" s="10" t="inlineStr">
        <is>
          <t>D50</t>
        </is>
      </c>
      <c r="I14" s="5" t="inlineStr">
        <is>
          <t>UFC 3-580-01 Para 2-3.1.3.2; MCIPAC G-6 Policy Ltr 03-2024 Sec 4(c)(6)(a); NEC</t>
        </is>
      </c>
    </row>
    <row r="15">
      <c r="A15" s="4" t="n">
        <v>8</v>
      </c>
      <c r="B15" s="4" t="inlineStr">
        <is>
          <t>TR-ELEC</t>
        </is>
      </c>
      <c r="C15" s="5" t="inlineStr">
        <is>
          <t>Install 125V 20A duplex convenience receptacles at 6 ft on-center intervals around TR perimeter walls; twist-lock type receptacles fed from dedicated circuits at each rack/cabinet per UFC 3-580-01 Para 2-3.1.3.2; includes wiring and conduit</t>
        </is>
      </c>
      <c r="D15" s="13" t="n">
        <v>1</v>
      </c>
      <c r="E15" s="4" t="inlineStr">
        <is>
          <t>LS</t>
        </is>
      </c>
      <c r="F15" s="14" t="n">
        <v>2000</v>
      </c>
      <c r="G15" s="15">
        <f>D15*F15</f>
        <v/>
      </c>
      <c r="H15" s="10" t="inlineStr">
        <is>
          <t>D50</t>
        </is>
      </c>
      <c r="I15" s="5" t="inlineStr">
        <is>
          <t>UFC 3-580-01 Para 2-3.1.3.2; MCIPAC G-6 Policy Ltr 03-2024 Sec 4(c)(6)(c)(d); NEC</t>
        </is>
      </c>
    </row>
    <row r="16">
      <c r="A16" s="4" t="n">
        <v>9</v>
      </c>
      <c r="B16" s="4" t="inlineStr">
        <is>
          <t>TR-ELEC</t>
        </is>
      </c>
      <c r="C16" s="5" t="inlineStr">
        <is>
          <t>Install overhead cable tray system (slotted bottom); sized for 50 pct fill ratio; extend along three walls above equipment cabinets per MCIPAC G-6 Policy Ltr 03-2024 Sec 4(c)(8)(a); includes waterfalls, supports, bonding</t>
        </is>
      </c>
      <c r="D16" s="13" t="n">
        <v>1</v>
      </c>
      <c r="E16" s="4" t="inlineStr">
        <is>
          <t>LS</t>
        </is>
      </c>
      <c r="F16" s="14" t="n">
        <v>1500</v>
      </c>
      <c r="G16" s="15">
        <f>D16*F16</f>
        <v/>
      </c>
      <c r="H16" s="10" t="inlineStr">
        <is>
          <t>D50</t>
        </is>
      </c>
      <c r="I16" s="5" t="inlineStr">
        <is>
          <t>MCIPAC G-6 Policy Ltr 03-2024 Sec 4(c)(8)(a); UFC 3-580-01; TIA-569</t>
        </is>
      </c>
    </row>
    <row r="17" ht="18" customHeight="1">
      <c r="A17" s="12" t="inlineStr">
        <is>
          <t>5.  COMMUNICATIONS INFRASTRUCTURE MODERNIZATION - Full Facility Scope per MCIPAC G-6 Policy Ltr 03-2024 &amp; UFC 3-580-01 (21 Nov 2024)</t>
        </is>
      </c>
    </row>
    <row r="18">
      <c r="A18" s="4" t="n">
        <v>10</v>
      </c>
      <c r="B18" s="4" t="inlineStr">
        <is>
          <t>COMM</t>
        </is>
      </c>
      <c r="C18" s="5" t="inlineStr">
        <is>
          <t>Communications infrastructure modernization - full facility scope: (1) remove and dispose non-EMT conduit (full facility); (2) install EMT conduit; (3) Cat 6 UTP NIPR (green) and SIPR (red in EMT) cabling; (4) WAO installation (min 2-port per location; 450mm AFF NIPR / 950mm AFF SIPR); (5) new enclosed mesh TR cabinet seismic Zone 4 anchored (4x 1/2 in bolts); (6) patch panels + cable management (WAOs + 25 pct expansion); (7) relocate existing rack from open admin office to new TR; (8) cable testing and test report. Comm engineer preliminary ROM.</t>
        </is>
      </c>
      <c r="D18" s="13" t="n">
        <v>1</v>
      </c>
      <c r="E18" s="4" t="inlineStr">
        <is>
          <t>LS</t>
        </is>
      </c>
      <c r="F18" s="14" t="n">
        <v>100000</v>
      </c>
      <c r="G18" s="15">
        <f>D18*F18</f>
        <v/>
      </c>
      <c r="H18" s="10" t="inlineStr">
        <is>
          <t>D50</t>
        </is>
      </c>
      <c r="I18" s="5" t="inlineStr">
        <is>
          <t>YELLOW - comm engineer ROM $100,000 based on available info; additional site survey required (unit items impeded TR access during initial survey); MCIPAC G-6 Policy Ltr 03-2024 Sec 4(b)(c)(f)(g); UFC 3-580-01</t>
        </is>
      </c>
    </row>
    <row r="19" ht="18" customHeight="1">
      <c r="A19" s="12" t="inlineStr">
        <is>
          <t>6.  HAZMAT - ACM MASTIC ABATEMENT - Bhate Environmental Survey 11/29/2001 (NVLAP accredited, Lab: Analytica Solutions)</t>
        </is>
      </c>
    </row>
    <row r="20">
      <c r="A20" s="4" t="n">
        <v>11</v>
      </c>
      <c r="B20" s="4" t="inlineStr">
        <is>
          <t>HAZMAT</t>
        </is>
      </c>
      <c r="C20" s="5" t="inlineStr">
        <is>
          <t>ACM abatement mobilization, containment setup, and demobilization; OSHA 29 CFR 1926.1101 compliant; licensed OCONUS contractor</t>
        </is>
      </c>
      <c r="D20" s="13" t="n">
        <v>1</v>
      </c>
      <c r="E20" s="4" t="inlineStr">
        <is>
          <t>LS</t>
        </is>
      </c>
      <c r="F20" s="14" t="n">
        <v>5000</v>
      </c>
      <c r="G20" s="15">
        <f>D20*F20</f>
        <v/>
      </c>
      <c r="H20" s="10" t="inlineStr">
        <is>
          <t>F10</t>
        </is>
      </c>
      <c r="I20" s="5" t="inlineStr">
        <is>
          <t>OSHA 1926.1101; 40 CFR Part 61 NESHAP; abatement required prior to slab penetrations (seismic anchors, TR construction)</t>
        </is>
      </c>
    </row>
    <row r="21">
      <c r="A21" s="4" t="n">
        <v>12</v>
      </c>
      <c r="B21" s="4" t="inlineStr">
        <is>
          <t>HAZMAT</t>
        </is>
      </c>
      <c r="C21" s="5" t="inlineStr">
        <is>
          <t>ACM mastic abatement (H2 - brown floor tile mastic, 5 pct Chrysotile); Room 101 (main warehouse bay) and interior hallway; floor penetrations for cage seismic anchors and TR construction trigger OSHA 1926.1101 disturbance threshold.</t>
        </is>
      </c>
      <c r="D21" s="13" t="n">
        <v>5590</v>
      </c>
      <c r="E21" s="4" t="inlineStr">
        <is>
          <t>SF</t>
        </is>
      </c>
      <c r="F21" s="14" t="n">
        <v>8</v>
      </c>
      <c r="G21" s="15">
        <f>D21*F21</f>
        <v/>
      </c>
      <c r="H21" s="10" t="inlineStr">
        <is>
          <t>F10</t>
        </is>
      </c>
      <c r="I21" s="5" t="inlineStr">
        <is>
          <t>YELLOW - PWD ENV confirmation pending: flooring in Room 101/hallway may have been replaced since 2001 Bhate survey; if mastic removed in prior replacement, scope reduces; Bhate Environmental Survey 11/29/2001, Sample H2, PA Form confirmed</t>
        </is>
      </c>
    </row>
    <row r="22">
      <c r="A22" s="4" t="n">
        <v>13</v>
      </c>
      <c r="B22" s="4" t="inlineStr">
        <is>
          <t>HAZMAT</t>
        </is>
      </c>
      <c r="C22" s="5" t="inlineStr">
        <is>
          <t>ACM waste disposal - licensed OCONUS facility; bagged and labeled per OSHA 1926.1101; manifest documentation</t>
        </is>
      </c>
      <c r="D22" s="13" t="n">
        <v>1</v>
      </c>
      <c r="E22" s="4" t="inlineStr">
        <is>
          <t>LS</t>
        </is>
      </c>
      <c r="F22" s="14" t="n">
        <v>3000</v>
      </c>
      <c r="G22" s="15">
        <f>D22*F22</f>
        <v/>
      </c>
      <c r="H22" s="10" t="inlineStr">
        <is>
          <t>F10</t>
        </is>
      </c>
      <c r="I22" s="5" t="inlineStr">
        <is>
          <t>OSHA 1926.1101; 40 CFR Part 61 NESHAP; OCONUS disposal surcharge included in unit rate</t>
        </is>
      </c>
    </row>
    <row r="23">
      <c r="A23" s="4" t="n">
        <v>14</v>
      </c>
      <c r="B23" s="4" t="inlineStr">
        <is>
          <t>HAZMAT</t>
        </is>
      </c>
      <c r="C23" s="5" t="inlineStr">
        <is>
          <t>Industrial hygienist air monitoring - pre-abatement, continuous during abatement, post-abatement; OSHA personal air sampling</t>
        </is>
      </c>
      <c r="D23" s="13" t="n">
        <v>1</v>
      </c>
      <c r="E23" s="4" t="inlineStr">
        <is>
          <t>LS</t>
        </is>
      </c>
      <c r="F23" s="14" t="n">
        <v>4000</v>
      </c>
      <c r="G23" s="15">
        <f>D23*F23</f>
        <v/>
      </c>
      <c r="H23" s="10" t="inlineStr">
        <is>
          <t>F10</t>
        </is>
      </c>
      <c r="I23" s="5" t="inlineStr">
        <is>
          <t>OSHA 1926.1101; standard OCONUS IH monitoring package</t>
        </is>
      </c>
    </row>
    <row r="24">
      <c r="A24" s="4" t="n">
        <v>15</v>
      </c>
      <c r="B24" s="4" t="inlineStr">
        <is>
          <t>HAZMAT</t>
        </is>
      </c>
      <c r="C24" s="5" t="inlineStr">
        <is>
          <t>Clearance testing and documentation; final air samples; written clearance report; all required regulatory submittals</t>
        </is>
      </c>
      <c r="D24" s="13" t="n">
        <v>1</v>
      </c>
      <c r="E24" s="4" t="inlineStr">
        <is>
          <t>LS</t>
        </is>
      </c>
      <c r="F24" s="14" t="n">
        <v>2000</v>
      </c>
      <c r="G24" s="15">
        <f>D24*F24</f>
        <v/>
      </c>
      <c r="H24" s="10" t="inlineStr">
        <is>
          <t>F10</t>
        </is>
      </c>
      <c r="I24" s="5" t="inlineStr">
        <is>
          <t>OSHA 1926.1101; EPA NESHAP; 40 CFR Part 61</t>
        </is>
      </c>
    </row>
    <row r="26">
      <c r="A26" s="7" t="inlineStr">
        <is>
          <t>TOTAL BASE DIRECT COST (FY24 CONUS)</t>
        </is>
      </c>
      <c r="G26" s="6">
        <f>SUM(G5:G24)</f>
        <v/>
      </c>
    </row>
  </sheetData>
  <mergeCells count="9">
    <mergeCell ref="A7:I7"/>
    <mergeCell ref="A2:I2"/>
    <mergeCell ref="A11:I11"/>
    <mergeCell ref="A19:I19"/>
    <mergeCell ref="A13:I13"/>
    <mergeCell ref="A1:I1"/>
    <mergeCell ref="A17:I17"/>
    <mergeCell ref="A26:F26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 ht="24" customHeight="1">
      <c r="A1" s="1" t="inlineStr">
        <is>
          <t>SCH-3237  |  COST ESTIMATE PARAMETERS  |  LEVEL 3 ROM  |  FY27  |  PAX ID 387622  |  Fi Web BU26PPE73M</t>
        </is>
      </c>
    </row>
    <row r="3">
      <c r="A3" s="2" t="inlineStr">
        <is>
          <t>PROJECT IDENTIFICATION</t>
        </is>
      </c>
    </row>
    <row r="4">
      <c r="A4" s="8" t="inlineStr">
        <is>
          <t>Estimate Title</t>
        </is>
      </c>
      <c r="B4" s="5" t="inlineStr">
        <is>
          <t>SCH-3237  |  Repair WAREHOUSE/ARMORY</t>
        </is>
      </c>
      <c r="C4" s="4" t="inlineStr">
        <is>
          <t>Text</t>
        </is>
      </c>
      <c r="D4" s="5" t="inlineStr">
        <is>
          <t>DD Form 1391  |  PAX ID 387622  |  Fi Web BU26PPE73M</t>
        </is>
      </c>
    </row>
    <row r="5">
      <c r="A5" s="8" t="inlineStr">
        <is>
          <t>Building / Installation</t>
        </is>
      </c>
      <c r="B5" s="5" t="inlineStr">
        <is>
          <t>SCH-3237  |  Camp Schwab, Okinawa, Japan</t>
        </is>
      </c>
      <c r="C5" s="4" t="inlineStr">
        <is>
          <t>Text</t>
        </is>
      </c>
      <c r="D5" s="5" t="inlineStr">
        <is>
          <t>MCIPAC G-F PPE</t>
        </is>
      </c>
    </row>
    <row r="6">
      <c r="A6" s="8" t="inlineStr">
        <is>
          <t>Supported Units</t>
        </is>
      </c>
      <c r="B6" s="5" t="inlineStr">
        <is>
          <t>4th Marine Regiment / III MEF</t>
        </is>
      </c>
      <c r="C6" s="4" t="inlineStr">
        <is>
          <t>Text</t>
        </is>
      </c>
      <c r="D6" s="5" t="inlineStr">
        <is>
          <t>Primary supported units</t>
        </is>
      </c>
    </row>
    <row r="7">
      <c r="A7" s="8" t="inlineStr">
        <is>
          <t>PAX ID</t>
        </is>
      </c>
      <c r="B7" s="5" t="n">
        <v>387622</v>
      </c>
      <c r="C7" s="4" t="inlineStr">
        <is>
          <t>ID</t>
        </is>
      </c>
      <c r="D7" s="5" t="inlineStr">
        <is>
          <t>PAX System</t>
        </is>
      </c>
    </row>
    <row r="8">
      <c r="A8" s="8" t="inlineStr">
        <is>
          <t>Fi Web Project Number</t>
        </is>
      </c>
      <c r="B8" s="5" t="inlineStr">
        <is>
          <t>BU26PPE73M</t>
        </is>
      </c>
      <c r="C8" s="4" t="inlineStr">
        <is>
          <t>ID</t>
        </is>
      </c>
      <c r="D8" s="5" t="inlineStr">
        <is>
          <t>Fi Web confirmed</t>
        </is>
      </c>
    </row>
    <row r="9">
      <c r="A9" s="8" t="inlineStr">
        <is>
          <t>iNFADS RPUID</t>
        </is>
      </c>
      <c r="B9" s="5" t="n">
        <v>51473</v>
      </c>
      <c r="C9" s="4" t="inlineStr">
        <is>
          <t>ID</t>
        </is>
      </c>
      <c r="D9" s="5" t="inlineStr">
        <is>
          <t>iNFADS Real Property record</t>
        </is>
      </c>
    </row>
    <row r="10">
      <c r="A10" s="8" t="inlineStr">
        <is>
          <t>Primary Project CCN</t>
        </is>
      </c>
      <c r="B10" s="5" t="n">
        <v>44112</v>
      </c>
      <c r="C10" s="4" t="inlineStr">
        <is>
          <t>CCN</t>
        </is>
      </c>
      <c r="D10" s="5" t="inlineStr">
        <is>
          <t>iNFADS CCN 44112</t>
        </is>
      </c>
    </row>
    <row r="11">
      <c r="A11" s="8" t="inlineStr">
        <is>
          <t>Total Building GSF</t>
        </is>
      </c>
      <c r="B11" s="5" t="n">
        <v>30973</v>
      </c>
      <c r="C11" s="4" t="inlineStr">
        <is>
          <t>SF</t>
        </is>
      </c>
      <c r="D11" s="5" t="inlineStr">
        <is>
          <t>iNFADS confirmed</t>
        </is>
      </c>
    </row>
    <row r="12">
      <c r="A12" s="8" t="inlineStr">
        <is>
          <t>Plant Replacement Value (iNFADS)</t>
        </is>
      </c>
      <c r="B12" s="5" t="n">
        <v>26636215</v>
      </c>
      <c r="C12" s="4" t="inlineStr">
        <is>
          <t>$</t>
        </is>
      </c>
      <c r="D12" s="5" t="inlineStr">
        <is>
          <t>iNFADS confirmed; UFC 3-701-01 w/Ch 7</t>
        </is>
      </c>
    </row>
    <row r="13">
      <c r="A13" s="8" t="inlineStr">
        <is>
          <t>Estimate Date</t>
        </is>
      </c>
      <c r="B13" s="5" t="inlineStr">
        <is>
          <t>29 Apr 2026</t>
        </is>
      </c>
      <c r="C13" s="4" t="inlineStr">
        <is>
          <t>Date</t>
        </is>
      </c>
      <c r="D13" s="5" t="inlineStr">
        <is>
          <t>Date of estimate production</t>
        </is>
      </c>
    </row>
    <row r="14">
      <c r="A14" s="8" t="inlineStr">
        <is>
          <t>Estimate Level</t>
        </is>
      </c>
      <c r="B14" s="5" t="inlineStr">
        <is>
          <t>Level 3 ROM</t>
        </is>
      </c>
      <c r="C14" s="4" t="inlineStr">
        <is>
          <t>Text</t>
        </is>
      </c>
      <c r="D14" s="5" t="inlineStr">
        <is>
          <t>UFS 3-740-05 (2 Feb 2026); for information only</t>
        </is>
      </c>
    </row>
    <row r="15">
      <c r="A15" s="8" t="inlineStr">
        <is>
          <t>Delivery Method</t>
        </is>
      </c>
      <c r="B15" s="5" t="inlineStr">
        <is>
          <t>Design-Build (DB)</t>
        </is>
      </c>
      <c r="C15" s="4" t="inlineStr">
        <is>
          <t>Method</t>
        </is>
      </c>
      <c r="D15" s="5" t="inlineStr">
        <is>
          <t>UFC 3-730-01 (2024)</t>
        </is>
      </c>
    </row>
    <row r="17">
      <c r="A17" s="2" t="inlineStr">
        <is>
          <t>COST INPUTS  (yellow = user input; locked unless directed)</t>
        </is>
      </c>
    </row>
    <row r="18">
      <c r="A18" s="8" t="inlineStr">
        <is>
          <t>Base Year</t>
        </is>
      </c>
      <c r="B18" s="14" t="n">
        <v>2024</v>
      </c>
      <c r="C18" s="4" t="inlineStr">
        <is>
          <t>FY</t>
        </is>
      </c>
      <c r="D18" s="5" t="inlineStr">
        <is>
          <t>FY24 CONUS base costs</t>
        </is>
      </c>
    </row>
    <row r="19">
      <c r="A19" s="8" t="inlineStr">
        <is>
          <t>Target Fiscal Year</t>
        </is>
      </c>
      <c r="B19" s="14" t="n">
        <v>2027</v>
      </c>
      <c r="C19" s="4" t="inlineStr">
        <is>
          <t>FY</t>
        </is>
      </c>
      <c r="D19" s="5" t="inlineStr">
        <is>
          <t>FY27 construction start</t>
        </is>
      </c>
    </row>
    <row r="20">
      <c r="A20" s="8" t="inlineStr">
        <is>
          <t>Area Cost Factor (ACF)</t>
        </is>
      </c>
      <c r="B20" s="16" t="n">
        <v>1.85</v>
      </c>
      <c r="C20" s="4" t="inlineStr">
        <is>
          <t>Multiplier</t>
        </is>
      </c>
      <c r="D20" s="5" t="inlineStr">
        <is>
          <t>UFC 3-701-01 w/Ch 7 (25 Jul 2025), Table 4-1 OCONUS Okinawa M67400-0004</t>
        </is>
      </c>
    </row>
    <row r="21">
      <c r="A21" s="8" t="inlineStr">
        <is>
          <t>Escalation Rate (annual)</t>
        </is>
      </c>
      <c r="B21" s="16" t="n">
        <v>0.021</v>
      </c>
      <c r="C21" s="4" t="inlineStr">
        <is>
          <t>%</t>
        </is>
      </c>
      <c r="D21" s="5" t="inlineStr">
        <is>
          <t>OSD FY25 published rate, client confirmed</t>
        </is>
      </c>
    </row>
    <row r="22">
      <c r="A22" s="8" t="inlineStr">
        <is>
          <t>Escalation Years</t>
        </is>
      </c>
      <c r="B22" s="17" t="n">
        <v>3</v>
      </c>
      <c r="C22" s="4" t="inlineStr">
        <is>
          <t>Years</t>
        </is>
      </c>
      <c r="D22" s="5" t="inlineStr">
        <is>
          <t>FY24 base to FY27 target</t>
        </is>
      </c>
    </row>
    <row r="23">
      <c r="A23" s="8" t="inlineStr">
        <is>
          <t>General Requirements</t>
        </is>
      </c>
      <c r="B23" s="16" t="n">
        <v>0.1</v>
      </c>
      <c r="C23" s="4" t="inlineStr">
        <is>
          <t>%</t>
        </is>
      </c>
      <c r="D23" s="5" t="inlineStr">
        <is>
          <t>FSRM program-directed; UFS 3-740-05</t>
        </is>
      </c>
    </row>
    <row r="25">
      <c r="A25" s="2" t="inlineStr">
        <is>
          <t>PAX ASSOCIATED COSTS  (informational; applied by PAX at submission)</t>
        </is>
      </c>
    </row>
    <row r="26">
      <c r="A26" s="8" t="inlineStr">
        <is>
          <t>Contingency</t>
        </is>
      </c>
      <c r="B26" s="18" t="n">
        <v>0.1</v>
      </c>
      <c r="C26" s="4" t="inlineStr">
        <is>
          <t>%</t>
        </is>
      </c>
      <c r="D26" s="5" t="inlineStr">
        <is>
          <t>FSRM program-directed; PAX-applied to items subtotal</t>
        </is>
      </c>
    </row>
    <row r="27">
      <c r="A27" s="8" t="inlineStr">
        <is>
          <t>Supervision Inspection and Overhead (SIOH)</t>
        </is>
      </c>
      <c r="B27" s="18" t="n">
        <v>0.08</v>
      </c>
      <c r="C27" s="4" t="inlineStr">
        <is>
          <t>%</t>
        </is>
      </c>
      <c r="D27" s="5" t="inlineStr">
        <is>
          <t>OCONUS FSRM customer-directed (8.0%); PAX-applied</t>
        </is>
      </c>
    </row>
    <row r="28">
      <c r="A28" s="8" t="inlineStr">
        <is>
          <t>Design-Build Design (DB)</t>
        </is>
      </c>
      <c r="B28" s="18" t="n">
        <v>0.04</v>
      </c>
      <c r="C28" s="4" t="inlineStr">
        <is>
          <t>%</t>
        </is>
      </c>
      <c r="D28" s="5" t="inlineStr">
        <is>
          <t>UFC 3-730-01 (2024); PAX-applied</t>
        </is>
      </c>
    </row>
    <row r="29">
      <c r="A29" s="8" t="inlineStr">
        <is>
          <t>Planning and Design (P&amp;D)</t>
        </is>
      </c>
      <c r="B29" s="18" t="n">
        <v>0.06</v>
      </c>
      <c r="C29" s="4" t="inlineStr">
        <is>
          <t>%</t>
        </is>
      </c>
      <c r="D29" s="5" t="inlineStr">
        <is>
          <t>NON ADD; informational only; does not roll into TPC</t>
        </is>
      </c>
    </row>
    <row r="31">
      <c r="A31" s="2" t="inlineStr">
        <is>
          <t>DERIVED VALUES  (live formulas; do not edit)</t>
        </is>
      </c>
    </row>
    <row r="32">
      <c r="A32" s="8" t="inlineStr">
        <is>
          <t>Compound Escalation Factor</t>
        </is>
      </c>
      <c r="B32" s="19">
        <f>(1+B21)^B22</f>
        <v/>
      </c>
      <c r="C32" s="4" t="inlineStr">
        <is>
          <t>Factor</t>
        </is>
      </c>
      <c r="D32" s="5" t="inlineStr">
        <is>
          <t>(1 + escalation)^years</t>
        </is>
      </c>
    </row>
    <row r="33">
      <c r="A33" s="8" t="inlineStr">
        <is>
          <t>Base Direct Cost (FY24 CONUS)</t>
        </is>
      </c>
      <c r="B33" s="6">
        <f>SCOPE_DETAIL!G26</f>
        <v/>
      </c>
      <c r="C33" s="4" t="inlineStr">
        <is>
          <t>$</t>
        </is>
      </c>
      <c r="D33" s="5" t="inlineStr">
        <is>
          <t>Sum of all scope items on SCOPE_DETAIL</t>
        </is>
      </c>
    </row>
    <row r="34">
      <c r="A34" s="8" t="inlineStr">
        <is>
          <t>Pre-Calibration Subtotal</t>
        </is>
      </c>
      <c r="B34" s="6">
        <f>B33*B20*B32*(1+B23)</f>
        <v/>
      </c>
      <c r="C34" s="4" t="inlineStr">
        <is>
          <t>$</t>
        </is>
      </c>
      <c r="D34" s="5" t="inlineStr">
        <is>
          <t>Base Direct x ACF x Escalation x (1 + General Requirements)</t>
        </is>
      </c>
    </row>
    <row r="35">
      <c r="A35" s="8" t="inlineStr">
        <is>
          <t>Locked Total Project Cost</t>
        </is>
      </c>
      <c r="B35" s="6" t="n">
        <v>1455526</v>
      </c>
      <c r="C35" s="4" t="inlineStr">
        <is>
          <t>$</t>
        </is>
      </c>
      <c r="D35" s="5" t="inlineStr">
        <is>
          <t>PAX-locked TPC; reconciliation target</t>
        </is>
      </c>
    </row>
    <row r="36">
      <c r="A36" s="8" t="inlineStr">
        <is>
          <t>Items Subtotal Target (PAX paste)</t>
        </is>
      </c>
      <c r="B36" s="6">
        <f>B35/1.23552</f>
        <v/>
      </c>
      <c r="C36" s="4" t="inlineStr">
        <is>
          <t>$</t>
        </is>
      </c>
      <c r="D36" s="5" t="inlineStr">
        <is>
          <t>Locked TPC / 1.23552  (1.10 x 1.08 x 1.04)</t>
        </is>
      </c>
    </row>
    <row r="37">
      <c r="A37" s="8" t="inlineStr">
        <is>
          <t>Cost Adjustment Factor</t>
        </is>
      </c>
      <c r="B37" s="19">
        <f>B36/B34</f>
        <v/>
      </c>
      <c r="C37" s="4" t="inlineStr">
        <is>
          <t>Factor</t>
        </is>
      </c>
      <c r="D37" s="5" t="inlineStr">
        <is>
          <t>Items Subtotal Target / Pre-Calibration Subtotal; calibrates ROM chain to locked TPC</t>
        </is>
      </c>
    </row>
    <row r="39">
      <c r="A39" s="2" t="inlineStr">
        <is>
          <t>PLANNING RATES</t>
        </is>
      </c>
    </row>
    <row r="40">
      <c r="A40" s="8" t="inlineStr">
        <is>
          <t>JPY/USD Planning Rate</t>
        </is>
      </c>
      <c r="B40" s="20" t="n">
        <v>150.4415</v>
      </c>
      <c r="C40" s="4" t="inlineStr">
        <is>
          <t>Rate</t>
        </is>
      </c>
      <c r="D40" s="5" t="inlineStr">
        <is>
          <t>FY26 budget planning rate; H.10 live rate at PAX submission</t>
        </is>
      </c>
    </row>
    <row r="42">
      <c r="A42" s="2" t="inlineStr">
        <is>
          <t>ACTIVE REFERENCES</t>
        </is>
      </c>
    </row>
    <row r="43">
      <c r="A43" s="5" t="inlineStr">
        <is>
          <t>MCO 11000.5 (03 Jun 2016)  |  Real Property FSRM Program</t>
        </is>
      </c>
    </row>
    <row r="44">
      <c r="A44" s="5" t="inlineStr">
        <is>
          <t>MCO 11000.12 (08 Sep 2014)  |  Real Property Facilities Manual</t>
        </is>
      </c>
    </row>
    <row r="45">
      <c r="A45" s="5" t="inlineStr">
        <is>
          <t>Consistency Review Board Guidelines (May 2024, REV #15)  |  DD Form 1391 line-item sequencing</t>
        </is>
      </c>
    </row>
    <row r="46">
      <c r="A46" s="5" t="inlineStr">
        <is>
          <t>UFC 3-701-01 with Change 7 (25 Jul 2025)  |  PUC, ACF, PRV authority</t>
        </is>
      </c>
    </row>
    <row r="47">
      <c r="A47" s="5" t="inlineStr">
        <is>
          <t>UFC 3-730-01 (2024)  |  Design-Build contracting</t>
        </is>
      </c>
    </row>
    <row r="48">
      <c r="A48" s="5" t="inlineStr">
        <is>
          <t>UFS 3-740-05 (02 Feb 2026)  |  Cost estimating ROM levels</t>
        </is>
      </c>
    </row>
    <row r="49">
      <c r="A49" s="5" t="inlineStr">
        <is>
          <t>JED Cost Estimating Guidance (Combined, Nov 2025)</t>
        </is>
      </c>
    </row>
    <row r="50">
      <c r="A50" s="5" t="inlineStr">
        <is>
          <t>Japan District Design Guide v9 (April 2025)</t>
        </is>
      </c>
    </row>
    <row r="51">
      <c r="A51" s="5" t="inlineStr">
        <is>
          <t>10 U.S.C. Section 2802  |  DoD 4270.5-M  |  Classification of Work</t>
        </is>
      </c>
    </row>
  </sheetData>
  <mergeCells count="16">
    <mergeCell ref="A1:D1"/>
    <mergeCell ref="A17:D17"/>
    <mergeCell ref="A45:D45"/>
    <mergeCell ref="A31:D31"/>
    <mergeCell ref="A50:D50"/>
    <mergeCell ref="A48:D48"/>
    <mergeCell ref="A3:D3"/>
    <mergeCell ref="A39:D39"/>
    <mergeCell ref="A25:D25"/>
    <mergeCell ref="A43:D43"/>
    <mergeCell ref="A51:D51"/>
    <mergeCell ref="A49:D49"/>
    <mergeCell ref="A47:D47"/>
    <mergeCell ref="A42:D42"/>
    <mergeCell ref="A46:D46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70" customWidth="1" min="3" max="3"/>
  </cols>
  <sheetData>
    <row r="1" ht="24" customHeight="1">
      <c r="A1" s="1" t="inlineStr">
        <is>
          <t>SCH-3237  |  DD FORM 1391 BLOCK 9 - PAX PASTE  |  LEVEL 3 ROM  |  FY27  |  PAX ID 387622  |  Fi Web BU26PPE73M</t>
        </is>
      </c>
    </row>
    <row r="2" ht="30" customHeight="1">
      <c r="A2" s="21" t="inlineStr">
        <is>
          <t>All amounts in $000s. Paste discipline rollups into PAX Block 9 items table; PAX-loaded Cont 10% / SIOH 8% / DB 4% render the printed Total Project Cost. P&amp;D 6% NON ADD shown for visibility.</t>
        </is>
      </c>
    </row>
    <row r="3" ht="24" customHeight="1">
      <c r="A3" s="3" t="inlineStr">
        <is>
          <t>Cost Element</t>
        </is>
      </c>
      <c r="B3" s="3" t="inlineStr">
        <is>
          <t>Amount ($000)</t>
        </is>
      </c>
      <c r="C3" s="3" t="inlineStr">
        <is>
          <t>Notes / UNIFORMAT</t>
        </is>
      </c>
    </row>
    <row r="4">
      <c r="A4" s="8" t="inlineStr">
        <is>
          <t>C10  |  Interior Construction</t>
        </is>
      </c>
      <c r="B4" s="6">
        <f>ROUND( SUMIF(SCOPE_DETAIL!H:H,"C10",SCOPE_DETAIL!G:G) * (PARAMETERS!B34/PARAMETERS!B33) * PARAMETERS!B37 / 1000, 0)</f>
        <v/>
      </c>
      <c r="C4" s="5" t="inlineStr">
        <is>
          <t>UNIFORMAT II Lv2 C10 rollup; absorbs base-cost adjustments via Cost Adjustment Factor</t>
        </is>
      </c>
    </row>
    <row r="5">
      <c r="A5" s="8" t="inlineStr">
        <is>
          <t>D30  |  HVAC / Mechanical</t>
        </is>
      </c>
      <c r="B5" s="6">
        <f>ROUND( SUMIF(SCOPE_DETAIL!H:H,"D30",SCOPE_DETAIL!G:G) * (PARAMETERS!B34/PARAMETERS!B33) * PARAMETERS!B37 / 1000, 0)</f>
        <v/>
      </c>
      <c r="C5" s="5" t="inlineStr">
        <is>
          <t>UNIFORMAT II Lv2 D30 rollup; absorbs base-cost adjustments via Cost Adjustment Factor</t>
        </is>
      </c>
    </row>
    <row r="6">
      <c r="A6" s="8" t="inlineStr">
        <is>
          <t>D50  |  Electrical / Communications</t>
        </is>
      </c>
      <c r="B6" s="6">
        <f>ROUND( SUMIF(SCOPE_DETAIL!H:H,"D50",SCOPE_DETAIL!G:G) * (PARAMETERS!B34/PARAMETERS!B33) * PARAMETERS!B37 / 1000, 0)</f>
        <v/>
      </c>
      <c r="C6" s="5" t="inlineStr">
        <is>
          <t>UNIFORMAT II Lv2 D50 rollup; absorbs base-cost adjustments via Cost Adjustment Factor</t>
        </is>
      </c>
    </row>
    <row r="7">
      <c r="A7" s="8" t="inlineStr">
        <is>
          <t>F10  |  Hazardous Material Abatement</t>
        </is>
      </c>
      <c r="B7" s="6">
        <f>ROUND( SUMIF(SCOPE_DETAIL!H:H,"F10",SCOPE_DETAIL!G:G) * (PARAMETERS!B34/PARAMETERS!B33) * PARAMETERS!B37 / 1000, 0)</f>
        <v/>
      </c>
      <c r="C7" s="5" t="inlineStr">
        <is>
          <t>UNIFORMAT II Lv2 F10 rollup; absorbs base-cost adjustments via Cost Adjustment Factor</t>
        </is>
      </c>
    </row>
    <row r="8">
      <c r="A8" s="7" t="inlineStr">
        <is>
          <t>ITEMS SUBTOTAL  (PAX Block 9 paste total)</t>
        </is>
      </c>
      <c r="B8" s="6">
        <f>SUM(B4:B7)</f>
        <v/>
      </c>
      <c r="C8" s="5" t="inlineStr">
        <is>
          <t>Sum of discipline rollups; this is the value pasted into PAX items table</t>
        </is>
      </c>
    </row>
    <row r="10">
      <c r="A10" s="8" t="inlineStr">
        <is>
          <t>Contingency (10.0%)  PAX-applied</t>
        </is>
      </c>
      <c r="B10" s="6">
        <f>B8*0.10</f>
        <v/>
      </c>
      <c r="C10" s="5" t="inlineStr">
        <is>
          <t>10% of items subtotal; FSRM program-directed</t>
        </is>
      </c>
    </row>
    <row r="11">
      <c r="A11" s="8" t="inlineStr">
        <is>
          <t>Total Contract Cost</t>
        </is>
      </c>
      <c r="B11" s="6">
        <f>B8*1.10</f>
        <v/>
      </c>
      <c r="C11" s="5" t="inlineStr">
        <is>
          <t>Items subtotal x 1.10</t>
        </is>
      </c>
    </row>
    <row r="12">
      <c r="A12" s="8" t="inlineStr">
        <is>
          <t>SIOH (8.0%)  PAX-applied</t>
        </is>
      </c>
      <c r="B12" s="6">
        <f>B8*1.10*0.08</f>
        <v/>
      </c>
      <c r="C12" s="5" t="inlineStr">
        <is>
          <t>8% of TCC; OCONUS FSRM customer-directed</t>
        </is>
      </c>
    </row>
    <row r="13">
      <c r="A13" s="8" t="inlineStr">
        <is>
          <t>Total Funded Cost</t>
        </is>
      </c>
      <c r="B13" s="6">
        <f>B8*1.10*1.08</f>
        <v/>
      </c>
      <c r="C13" s="5" t="inlineStr">
        <is>
          <t>TCC x 1.08</t>
        </is>
      </c>
    </row>
    <row r="14">
      <c r="A14" s="8" t="inlineStr">
        <is>
          <t>DB Design (4.0%)  PAX-applied</t>
        </is>
      </c>
      <c r="B14" s="6">
        <f>B8*1.10*1.08*0.04</f>
        <v/>
      </c>
      <c r="C14" s="5" t="inlineStr">
        <is>
          <t>4% of TFC; UFC 3-730-01 (2024)</t>
        </is>
      </c>
    </row>
    <row r="15">
      <c r="A15" s="8" t="inlineStr">
        <is>
          <t>TOTAL PROJECT COST</t>
        </is>
      </c>
      <c r="B15" s="6">
        <f>B8*1.23552</f>
        <v/>
      </c>
      <c r="C15" s="5" t="inlineStr">
        <is>
          <t>TFC x 1.04 = items subtotal x 1.23552</t>
        </is>
      </c>
    </row>
    <row r="16">
      <c r="A16" s="7" t="inlineStr">
        <is>
          <t>TOTAL PROJECT COST  ($000 rounded)</t>
        </is>
      </c>
      <c r="B16" s="22">
        <f>ROUND(B15,0)</f>
        <v/>
      </c>
      <c r="C16" s="5" t="inlineStr">
        <is>
          <t>Printed TPC on DD Form 1391 face</t>
        </is>
      </c>
    </row>
    <row r="18">
      <c r="A18" s="23" t="inlineStr">
        <is>
          <t>Planning and Design (6.0%)  NON ADD</t>
        </is>
      </c>
      <c r="B18" s="24">
        <f>ROUND(B8*0.06,0)</f>
        <v/>
      </c>
      <c r="C18" s="25" t="inlineStr">
        <is>
          <t>Informational; does not roll into TPC; PAX renders separately on form</t>
        </is>
      </c>
    </row>
    <row r="20">
      <c r="A20" s="8" t="inlineStr">
        <is>
          <t>Reconciliation (must equal 0)</t>
        </is>
      </c>
      <c r="B20" s="9">
        <f>B16-ROUND(PARAMETERS!B35/1000,0)</f>
        <v/>
      </c>
      <c r="C20" s="5" t="inlineStr">
        <is>
          <t>Printed TPC ($000) minus Locked TPC ($000)</t>
        </is>
      </c>
    </row>
    <row r="22">
      <c r="A22" s="2" t="inlineStr">
        <is>
          <t>CLASSIFICATION OF WORK</t>
        </is>
      </c>
    </row>
    <row r="23">
      <c r="A23" s="8" t="inlineStr">
        <is>
          <t>Construction</t>
        </is>
      </c>
      <c r="B23" s="15">
        <f>B16</f>
        <v/>
      </c>
      <c r="C23" s="5" t="inlineStr">
        <is>
          <t>100% of Total Project Cost  |  10 U.S.C. Section 2802</t>
        </is>
      </c>
    </row>
    <row r="24">
      <c r="A24" s="8" t="inlineStr">
        <is>
          <t>Special Interest: Restoration and Modernization</t>
        </is>
      </c>
      <c r="B24" s="15">
        <f>B16</f>
        <v/>
      </c>
      <c r="C24" s="5" t="inlineStr">
        <is>
          <t>100% SRM  |  MCO 11000.12  |  DoD 4270.5-M</t>
        </is>
      </c>
    </row>
  </sheetData>
  <mergeCells count="3">
    <mergeCell ref="A1:C1"/>
    <mergeCell ref="B2:C2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2026-04-29T09:48:58Z</dcterms:created>
  <dcterms:modified xsi:type="dcterms:W3CDTF">2026-04-29T09:48:58Z</dcterms:modified>
</cp:coreProperties>
</file>