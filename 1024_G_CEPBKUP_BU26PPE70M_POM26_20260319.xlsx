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SCOPE_DETAIL" sheetId="2" state="visible" r:id="rId2"/>
    <sheet name="PARAMETERS" sheetId="3" state="visible" r:id="rId3"/>
    <sheet name="DD1391_BLOCK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0.000"/>
    <numFmt numFmtId="166" formatCode="0.0%"/>
    <numFmt numFmtId="167" formatCode="0.0000"/>
    <numFmt numFmtId="168" formatCode="#,##0;[Red]-#,##0;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FCC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AA9D6"/>
      </left>
      <right style="thin">
        <color rgb="008AA9D6"/>
      </right>
      <top style="thin">
        <color rgb="008AA9D6"/>
      </top>
      <bottom style="thin">
        <color rgb="008AA9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168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0" pivotButton="0" quotePrefix="0" xfId="0"/>
    <xf numFmtId="164" fontId="5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1" fontId="5" fillId="5" borderId="1" applyAlignment="1" pivotButton="0" quotePrefix="0" xfId="0">
      <alignment horizontal="right" vertical="center" wrapText="1"/>
    </xf>
    <xf numFmtId="166" fontId="5" fillId="4" borderId="1" applyAlignment="1" pivotButton="0" quotePrefix="0" xfId="0">
      <alignment horizontal="right" vertical="center" wrapText="1"/>
    </xf>
    <xf numFmtId="167" fontId="6" fillId="3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 wrapText="1"/>
    </xf>
    <xf numFmtId="3" fontId="3" fillId="2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70" customWidth="1" min="4" max="4"/>
  </cols>
  <sheetData>
    <row r="1" ht="24" customHeight="1">
      <c r="A1" s="1" t="inlineStr">
        <is>
          <t>SCH-1024  |  ROM COST ESTIMATE  |  LEVEL 3  |  FY27  |  PAX ID 387356  |  Fi Web BU26PPE70M</t>
        </is>
      </c>
    </row>
    <row r="3">
      <c r="A3" s="2" t="inlineStr">
        <is>
          <t>A.  ROM FORMULA CHAIN  (live formulas reference PARAMETERS tab)</t>
        </is>
      </c>
    </row>
    <row r="4">
      <c r="A4" s="3" t="inlineStr">
        <is>
          <t>Step</t>
        </is>
      </c>
      <c r="B4" s="3" t="inlineStr">
        <is>
          <t>Element</t>
        </is>
      </c>
      <c r="C4" s="3" t="inlineStr">
        <is>
          <t>Amount ($)</t>
        </is>
      </c>
      <c r="D4" s="3" t="inlineStr">
        <is>
          <t>Formula / Source</t>
        </is>
      </c>
    </row>
    <row r="5">
      <c r="A5" s="4" t="n">
        <v>1</v>
      </c>
      <c r="B5" s="5" t="inlineStr">
        <is>
          <t>Base Direct Cost (FY24 CONUS)</t>
        </is>
      </c>
      <c r="C5" s="6">
        <f>PARAMETERS!B33</f>
        <v/>
      </c>
      <c r="D5" s="5" t="inlineStr">
        <is>
          <t>Sum of all scope items on SCOPE_DETAIL</t>
        </is>
      </c>
    </row>
    <row r="6">
      <c r="A6" s="4" t="n">
        <v>2</v>
      </c>
      <c r="B6" s="5" t="inlineStr">
        <is>
          <t>x ACF 1.85  (Camp Schwab Okinawa)</t>
        </is>
      </c>
      <c r="C6" s="6">
        <f>C5*1.85</f>
        <v/>
      </c>
      <c r="D6" s="5" t="inlineStr">
        <is>
          <t>UFC 3-701-01 w/Ch 7 (25 Jul 2025), Table 4-1</t>
        </is>
      </c>
    </row>
    <row r="7">
      <c r="A7" s="4" t="n">
        <v>3</v>
      </c>
      <c r="B7" s="5" t="inlineStr">
        <is>
          <t>x Compound Escalation Factor</t>
        </is>
      </c>
      <c r="C7" s="6">
        <f>C6*PARAMETERS!B32</f>
        <v/>
      </c>
      <c r="D7" s="5" t="inlineStr">
        <is>
          <t>OSD FY25 published rate; FY24 to FY27</t>
        </is>
      </c>
    </row>
    <row r="8">
      <c r="A8" s="4" t="n">
        <v>4</v>
      </c>
      <c r="B8" s="5" t="inlineStr">
        <is>
          <t>x (1 + General Requirements 10%)</t>
        </is>
      </c>
      <c r="C8" s="6">
        <f>C7*1.10</f>
        <v/>
      </c>
      <c r="D8" s="5" t="inlineStr">
        <is>
          <t>FSRM program-directed; UFS 3-740-05</t>
        </is>
      </c>
    </row>
    <row r="9">
      <c r="A9" s="4" t="n">
        <v>5</v>
      </c>
      <c r="B9" s="5" t="inlineStr">
        <is>
          <t>x Cost Adjustment Factor (calibrated)</t>
        </is>
      </c>
      <c r="C9" s="6">
        <f>C8*PARAMETERS!B37</f>
        <v/>
      </c>
      <c r="D9" s="5" t="inlineStr">
        <is>
          <t>Calibrates ROM chain to locked TPC; absorbs base-cost adjustments</t>
        </is>
      </c>
    </row>
    <row r="10">
      <c r="A10" s="5" t="inlineStr"/>
      <c r="B10" s="7" t="inlineStr">
        <is>
          <t>ITEMS SUBTOTAL  (PAX Block 9 paste total)</t>
        </is>
      </c>
      <c r="C10" s="6">
        <f>C9</f>
        <v/>
      </c>
      <c r="D10" s="5" t="inlineStr">
        <is>
          <t>Equals Locked TPC / 1.23552</t>
        </is>
      </c>
    </row>
    <row r="12">
      <c r="A12" s="2" t="inlineStr">
        <is>
          <t>B.  PAX ROLLUP VERIFICATION  (mirrors what PAX prints on the form)</t>
        </is>
      </c>
    </row>
    <row r="13">
      <c r="A13" s="3" t="inlineStr">
        <is>
          <t>Step</t>
        </is>
      </c>
      <c r="B13" s="3" t="inlineStr">
        <is>
          <t>Element</t>
        </is>
      </c>
      <c r="C13" s="3" t="inlineStr">
        <is>
          <t>Amount ($)</t>
        </is>
      </c>
      <c r="D13" s="3" t="inlineStr">
        <is>
          <t>Formula / Source</t>
        </is>
      </c>
    </row>
    <row r="14">
      <c r="B14" s="8" t="inlineStr">
        <is>
          <t>Items Subtotal</t>
        </is>
      </c>
      <c r="C14" s="6">
        <f>C10</f>
        <v/>
      </c>
      <c r="D14" s="5" t="inlineStr">
        <is>
          <t>From Section A</t>
        </is>
      </c>
    </row>
    <row r="15">
      <c r="B15" s="8" t="inlineStr">
        <is>
          <t>+ Contingency (10.0%)  PAX-applied</t>
        </is>
      </c>
      <c r="C15" s="6">
        <f>C10*0.10</f>
        <v/>
      </c>
      <c r="D15" s="5" t="inlineStr">
        <is>
          <t>FSRM program-directed</t>
        </is>
      </c>
    </row>
    <row r="16">
      <c r="B16" s="8" t="inlineStr">
        <is>
          <t>Total Contract Cost</t>
        </is>
      </c>
      <c r="C16" s="6">
        <f>C10*1.10</f>
        <v/>
      </c>
      <c r="D16" s="5" t="inlineStr">
        <is>
          <t>Items Subtotal x 1.10</t>
        </is>
      </c>
    </row>
    <row r="17">
      <c r="B17" s="8" t="inlineStr">
        <is>
          <t>+ SIOH (8.0%)  PAX-applied</t>
        </is>
      </c>
      <c r="C17" s="6">
        <f>C10*1.10*0.08</f>
        <v/>
      </c>
      <c r="D17" s="5" t="inlineStr">
        <is>
          <t>OCONUS FSRM customer-directed</t>
        </is>
      </c>
    </row>
    <row r="18">
      <c r="B18" s="8" t="inlineStr">
        <is>
          <t>Total Funded Cost</t>
        </is>
      </c>
      <c r="C18" s="6">
        <f>C10*1.10*1.08</f>
        <v/>
      </c>
      <c r="D18" s="5" t="inlineStr">
        <is>
          <t>Total Contract Cost x 1.08</t>
        </is>
      </c>
    </row>
    <row r="19">
      <c r="B19" s="8" t="inlineStr">
        <is>
          <t>+ DB Design (4.0%)  PAX-applied</t>
        </is>
      </c>
      <c r="C19" s="6">
        <f>C10*1.10*1.08*0.04</f>
        <v/>
      </c>
      <c r="D19" s="5" t="inlineStr">
        <is>
          <t>UFC 3-730-01 (2024)</t>
        </is>
      </c>
    </row>
    <row r="20">
      <c r="B20" s="8" t="inlineStr">
        <is>
          <t>TOTAL PROJECT COST</t>
        </is>
      </c>
      <c r="C20" s="6">
        <f>C10*1.23552</f>
        <v/>
      </c>
      <c r="D20" s="5" t="inlineStr">
        <is>
          <t>Total Funded Cost x 1.04</t>
        </is>
      </c>
    </row>
    <row r="21">
      <c r="B21" s="8" t="inlineStr">
        <is>
          <t>TOTAL PROJECT COST ($000 rounded)</t>
        </is>
      </c>
      <c r="C21" s="6">
        <f>ROUND(C20/1000,0)</f>
        <v/>
      </c>
      <c r="D21" s="5" t="inlineStr">
        <is>
          <t>Printed face value on DD Form 1391</t>
        </is>
      </c>
    </row>
    <row r="22">
      <c r="B22" s="8" t="inlineStr">
        <is>
          <t>Locked TPC ($000 rounded)</t>
        </is>
      </c>
      <c r="C22" s="6">
        <f>ROUND(PARAMETERS!B35/1000,0)</f>
        <v/>
      </c>
      <c r="D22" s="5" t="inlineStr">
        <is>
          <t>Reconciliation target</t>
        </is>
      </c>
    </row>
    <row r="23">
      <c r="B23" s="8" t="inlineStr">
        <is>
          <t>Reconciliation (must equal 0)</t>
        </is>
      </c>
      <c r="C23" s="9">
        <f>C21-C22</f>
        <v/>
      </c>
      <c r="D23" s="5" t="inlineStr">
        <is>
          <t>Printed minus Locked</t>
        </is>
      </c>
    </row>
    <row r="24">
      <c r="B24" s="8" t="inlineStr">
        <is>
          <t>Planning and Design (6.0%)  NON ADD</t>
        </is>
      </c>
      <c r="C24" s="6">
        <f>C10*0.06</f>
        <v/>
      </c>
      <c r="D24" s="5" t="inlineStr">
        <is>
          <t>Informational; does not roll into TPC</t>
        </is>
      </c>
    </row>
    <row r="26">
      <c r="A26" s="2" t="inlineStr">
        <is>
          <t>C.  UNIFORMAT II LV2 SUMMARY  (Base Direct pre-ACF, by category)</t>
        </is>
      </c>
    </row>
    <row r="27">
      <c r="A27" s="3" t="inlineStr">
        <is>
          <t>Code</t>
        </is>
      </c>
      <c r="B27" s="3" t="inlineStr">
        <is>
          <t>Category</t>
        </is>
      </c>
      <c r="C27" s="3" t="inlineStr">
        <is>
          <t>Base Direct ($)</t>
        </is>
      </c>
      <c r="D27" s="3" t="inlineStr">
        <is>
          <t>Description</t>
        </is>
      </c>
    </row>
    <row r="28">
      <c r="A28" s="10" t="inlineStr">
        <is>
          <t>B20</t>
        </is>
      </c>
      <c r="B28" s="5" t="inlineStr">
        <is>
          <t>Exterior Enclosure</t>
        </is>
      </c>
      <c r="C28" s="6">
        <f>SUMIF(SCOPE_DETAIL!H:H,"B20",SCOPE_DETAIL!G:G)</f>
        <v/>
      </c>
      <c r="D28" s="5" t="inlineStr">
        <is>
          <t>2 scope item(s)</t>
        </is>
      </c>
    </row>
    <row r="29">
      <c r="A29" s="10" t="inlineStr">
        <is>
          <t>C10</t>
        </is>
      </c>
      <c r="B29" s="5" t="inlineStr">
        <is>
          <t>Interior Construction</t>
        </is>
      </c>
      <c r="C29" s="6">
        <f>SUMIF(SCOPE_DETAIL!H:H,"C10",SCOPE_DETAIL!G:G)</f>
        <v/>
      </c>
      <c r="D29" s="5" t="inlineStr">
        <is>
          <t>7 scope item(s)</t>
        </is>
      </c>
    </row>
    <row r="30">
      <c r="A30" s="10" t="inlineStr">
        <is>
          <t>C30</t>
        </is>
      </c>
      <c r="B30" s="5" t="inlineStr">
        <is>
          <t>Interior Finishes</t>
        </is>
      </c>
      <c r="C30" s="6">
        <f>SUMIF(SCOPE_DETAIL!H:H,"C30",SCOPE_DETAIL!G:G)</f>
        <v/>
      </c>
      <c r="D30" s="5" t="inlineStr">
        <is>
          <t>8 scope item(s)</t>
        </is>
      </c>
    </row>
    <row r="31">
      <c r="A31" s="10" t="inlineStr">
        <is>
          <t>D20</t>
        </is>
      </c>
      <c r="B31" s="5" t="inlineStr">
        <is>
          <t>Plumbing</t>
        </is>
      </c>
      <c r="C31" s="6">
        <f>SUMIF(SCOPE_DETAIL!H:H,"D20",SCOPE_DETAIL!G:G)</f>
        <v/>
      </c>
      <c r="D31" s="5" t="inlineStr">
        <is>
          <t>6 scope item(s)</t>
        </is>
      </c>
    </row>
    <row r="32">
      <c r="A32" s="10" t="inlineStr">
        <is>
          <t>D30</t>
        </is>
      </c>
      <c r="B32" s="5" t="inlineStr">
        <is>
          <t>HVAC / Mechanical</t>
        </is>
      </c>
      <c r="C32" s="6">
        <f>SUMIF(SCOPE_DETAIL!H:H,"D30",SCOPE_DETAIL!G:G)</f>
        <v/>
      </c>
      <c r="D32" s="5" t="inlineStr">
        <is>
          <t>8 scope item(s)</t>
        </is>
      </c>
    </row>
    <row r="33">
      <c r="A33" s="10" t="inlineStr">
        <is>
          <t>D40</t>
        </is>
      </c>
      <c r="B33" s="5" t="inlineStr">
        <is>
          <t>Fire Protection</t>
        </is>
      </c>
      <c r="C33" s="6">
        <f>SUMIF(SCOPE_DETAIL!H:H,"D40",SCOPE_DETAIL!G:G)</f>
        <v/>
      </c>
      <c r="D33" s="5" t="inlineStr">
        <is>
          <t>1 scope item(s)</t>
        </is>
      </c>
    </row>
    <row r="34">
      <c r="A34" s="10" t="inlineStr">
        <is>
          <t>D50</t>
        </is>
      </c>
      <c r="B34" s="5" t="inlineStr">
        <is>
          <t>Electrical / Communications</t>
        </is>
      </c>
      <c r="C34" s="6">
        <f>SUMIF(SCOPE_DETAIL!H:H,"D50",SCOPE_DETAIL!G:G)</f>
        <v/>
      </c>
      <c r="D34" s="5" t="inlineStr">
        <is>
          <t>11 scope item(s)</t>
        </is>
      </c>
    </row>
    <row r="35">
      <c r="A35" s="10" t="inlineStr">
        <is>
          <t>E20</t>
        </is>
      </c>
      <c r="B35" s="5" t="inlineStr">
        <is>
          <t>Furnishings</t>
        </is>
      </c>
      <c r="C35" s="6">
        <f>SUMIF(SCOPE_DETAIL!H:H,"E20",SCOPE_DETAIL!G:G)</f>
        <v/>
      </c>
      <c r="D35" s="5" t="inlineStr">
        <is>
          <t>1 scope item(s)</t>
        </is>
      </c>
    </row>
    <row r="36">
      <c r="A36" s="10" t="inlineStr">
        <is>
          <t>F20</t>
        </is>
      </c>
      <c r="B36" s="5" t="inlineStr">
        <is>
          <t>Selective Demolition</t>
        </is>
      </c>
      <c r="C36" s="6">
        <f>SUMIF(SCOPE_DETAIL!H:H,"F20",SCOPE_DETAIL!G:G)</f>
        <v/>
      </c>
      <c r="D36" s="5" t="inlineStr">
        <is>
          <t>18 scope item(s)</t>
        </is>
      </c>
    </row>
    <row r="37">
      <c r="A37" s="10" t="inlineStr">
        <is>
          <t>G10</t>
        </is>
      </c>
      <c r="B37" s="5" t="inlineStr">
        <is>
          <t>Site Preparation</t>
        </is>
      </c>
      <c r="C37" s="6">
        <f>SUMIF(SCOPE_DETAIL!H:H,"G10",SCOPE_DETAIL!G:G)</f>
        <v/>
      </c>
      <c r="D37" s="5" t="inlineStr">
        <is>
          <t>1 scope item(s)</t>
        </is>
      </c>
    </row>
    <row r="38">
      <c r="A38" s="10" t="inlineStr">
        <is>
          <t>G20</t>
        </is>
      </c>
      <c r="B38" s="5" t="inlineStr">
        <is>
          <t>Site Improvements</t>
        </is>
      </c>
      <c r="C38" s="6">
        <f>SUMIF(SCOPE_DETAIL!H:H,"G20",SCOPE_DETAIL!G:G)</f>
        <v/>
      </c>
      <c r="D38" s="5" t="inlineStr">
        <is>
          <t>6 scope item(s)</t>
        </is>
      </c>
    </row>
    <row r="39">
      <c r="A39" s="5" t="inlineStr"/>
      <c r="B39" s="7" t="inlineStr">
        <is>
          <t>TOTAL BASE DIRECT (must equal Section A row 5)</t>
        </is>
      </c>
      <c r="C39" s="6">
        <f>SUM(C28:C38)</f>
        <v/>
      </c>
    </row>
    <row r="41">
      <c r="A41" s="2" t="inlineStr">
        <is>
          <t>D.  METHODOLOGY</t>
        </is>
      </c>
    </row>
    <row r="42" ht="18" customHeight="1">
      <c r="A42" s="8" t="inlineStr">
        <is>
          <t>Estimate Level</t>
        </is>
      </c>
      <c r="B42" s="5" t="inlineStr">
        <is>
          <t>Level 3 ROM per UFS 3-740-05 (02 Feb 2026). Non-mandatory supplement; for information only.</t>
        </is>
      </c>
    </row>
    <row r="43" ht="18" customHeight="1">
      <c r="A43" s="8" t="inlineStr">
        <is>
          <t>Scope Basis</t>
        </is>
      </c>
      <c r="B43" s="5" t="inlineStr">
        <is>
          <t>69 discrete work items across 11 UNIFORMAT II Lv2 categories. Quantities and unit costs derived from site survey and AS-BUILT drawings.</t>
        </is>
      </c>
    </row>
    <row r="44" ht="18" customHeight="1">
      <c r="A44" s="8" t="inlineStr">
        <is>
          <t>Area Cost Factor</t>
        </is>
      </c>
      <c r="B44" s="5" t="inlineStr">
        <is>
          <t>1.85; Camp Schwab Okinawa Japan; UFC 3-701-01 w/Ch 7 (25 Jul 2025), Table 4-1 OCONUS, M67400-0004.</t>
        </is>
      </c>
    </row>
    <row r="45" ht="18" customHeight="1">
      <c r="A45" s="8" t="inlineStr">
        <is>
          <t>Escalation</t>
        </is>
      </c>
      <c r="B45" s="5" t="inlineStr">
        <is>
          <t>2.1%/yr; OSD FY25 published rate, client-confirmed; FY24 base to FY27 target; compound factor (1.021)^3 = 1.0643.</t>
        </is>
      </c>
    </row>
    <row r="46" ht="18" customHeight="1">
      <c r="A46" s="8" t="inlineStr">
        <is>
          <t>General Requirements</t>
        </is>
      </c>
      <c r="B46" s="5" t="inlineStr">
        <is>
          <t>10.0%; FSRM program-directed; UFS 3-740-05.</t>
        </is>
      </c>
    </row>
    <row r="47" ht="18" customHeight="1">
      <c r="A47" s="8" t="inlineStr">
        <is>
          <t>PAX Associated Costs</t>
        </is>
      </c>
      <c r="B47" s="5" t="inlineStr">
        <is>
          <t>Contingency 10%, SIOH 8% (OCONUS FSRM customer-directed), DB Design 4%; combined multiplier 1.23552. Planning and Design 6% NON ADD; informational only.</t>
        </is>
      </c>
    </row>
    <row r="48" ht="18" customHeight="1">
      <c r="A48" s="8" t="inlineStr">
        <is>
          <t>Cost Adjustment Factor</t>
        </is>
      </c>
      <c r="B48" s="5" t="inlineStr">
        <is>
          <t>Live formula in PARAMETERS reconciles the ROM chain to the locked Total Project Cost. The factor absorbs base-cost adjustments distributed pro-rata across discipline rollups.</t>
        </is>
      </c>
    </row>
    <row r="49" ht="18" customHeight="1">
      <c r="A49" s="8" t="inlineStr">
        <is>
          <t>Unit Cost Basis</t>
        </is>
      </c>
      <c r="B49" s="5" t="inlineStr">
        <is>
          <t>FY24 CONUS pre-ACF assembly-level unit costs per RS Means; UFC 3-410-01 / 3-420-01 / 3-520-01 / 3-530-01 / 3-580-01 as applicable.</t>
        </is>
      </c>
    </row>
    <row r="50" ht="18" customHeight="1">
      <c r="A50" s="8" t="inlineStr">
        <is>
          <t>Items Requiring Verification</t>
        </is>
      </c>
      <c r="B50" s="5" t="inlineStr">
        <is>
          <t>JPY/USD exchange rate per Federal Reserve H.10 on date of PAX submission.</t>
        </is>
      </c>
    </row>
    <row r="51" ht="18" customHeight="1">
      <c r="A51" s="8" t="inlineStr">
        <is>
          <t>Prepared By</t>
        </is>
      </c>
      <c r="B51" s="5" t="inlineStr">
        <is>
          <t>Anthony L. Potter  |  Facilities Planner  |  MCIPAC G-F PPE  |  29 Apr 2026</t>
        </is>
      </c>
    </row>
    <row r="53">
      <c r="A53" s="2" t="inlineStr">
        <is>
          <t>E.  VERSION HISTORY</t>
        </is>
      </c>
    </row>
    <row r="54">
      <c r="A54" s="3" t="inlineStr">
        <is>
          <t>Version</t>
        </is>
      </c>
      <c r="B54" s="3" t="inlineStr">
        <is>
          <t>Date</t>
        </is>
      </c>
      <c r="C54" s="3" t="inlineStr">
        <is>
          <t>Total Project Cost ($)</t>
        </is>
      </c>
      <c r="D54" s="3" t="inlineStr">
        <is>
          <t>Notes</t>
        </is>
      </c>
    </row>
    <row r="55">
      <c r="A55" s="10" t="inlineStr">
        <is>
          <t>Current</t>
        </is>
      </c>
      <c r="B55" s="4" t="inlineStr">
        <is>
          <t>29 Apr 2026</t>
        </is>
      </c>
      <c r="C55" s="6">
        <f>C20</f>
        <v/>
      </c>
      <c r="D55" s="5" t="inlineStr">
        <is>
          <t>4-tab discipline-rollup architecture; PAX-pasteable Block 9; reconciles to locked TPC</t>
        </is>
      </c>
    </row>
  </sheetData>
  <mergeCells count="16">
    <mergeCell ref="A1:D1"/>
    <mergeCell ref="B42:D42"/>
    <mergeCell ref="B45:D45"/>
    <mergeCell ref="B46:D46"/>
    <mergeCell ref="A12:D12"/>
    <mergeCell ref="A53:D53"/>
    <mergeCell ref="A26:D26"/>
    <mergeCell ref="A3:D3"/>
    <mergeCell ref="B49:D49"/>
    <mergeCell ref="B50:D50"/>
    <mergeCell ref="A41:D41"/>
    <mergeCell ref="B44:D44"/>
    <mergeCell ref="B43:D43"/>
    <mergeCell ref="B51:D51"/>
    <mergeCell ref="B47:D47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0" customWidth="1" min="3" max="3"/>
    <col width="8" customWidth="1" min="4" max="4"/>
    <col width="8" customWidth="1" min="5" max="5"/>
    <col width="12" customWidth="1" min="6" max="6"/>
    <col width="14" customWidth="1" min="7" max="7"/>
    <col width="11" customWidth="1" min="8" max="8"/>
    <col width="50" customWidth="1" min="9" max="9"/>
  </cols>
  <sheetData>
    <row r="1" ht="24" customHeight="1">
      <c r="A1" s="1" t="inlineStr">
        <is>
          <t>SCH-1024  |  SCOPE DETAIL &amp; QUANTITY TAKEOFF  |  BASE YEAR FY24 CONUS DIRECT COSTS  |  Fi Web BU26PPE70M</t>
        </is>
      </c>
    </row>
    <row r="2">
      <c r="A2" s="11" t="inlineStr">
        <is>
          <t>Yellow = confirmed scope. White = formula-driven extended cost. All unit costs are FY24 CONUS pre-ACF, assembly-level RS Means basis.</t>
        </is>
      </c>
    </row>
    <row r="3" ht="30" customHeight="1">
      <c r="A3" s="3" t="inlineStr">
        <is>
          <t>Item</t>
        </is>
      </c>
      <c r="B3" s="3" t="inlineStr">
        <is>
          <t>Group</t>
        </is>
      </c>
      <c r="C3" s="3" t="inlineStr">
        <is>
          <t>Work Description</t>
        </is>
      </c>
      <c r="D3" s="3" t="inlineStr">
        <is>
          <t>Qty</t>
        </is>
      </c>
      <c r="E3" s="3" t="inlineStr">
        <is>
          <t>Unit</t>
        </is>
      </c>
      <c r="F3" s="3" t="inlineStr">
        <is>
          <t>Unit Cost
(FY24 CONUS)</t>
        </is>
      </c>
      <c r="G3" s="3" t="inlineStr">
        <is>
          <t>Extended
Cost</t>
        </is>
      </c>
      <c r="H3" s="3" t="inlineStr">
        <is>
          <t>UNIFORMAT
II Lv2</t>
        </is>
      </c>
      <c r="I3" s="3" t="inlineStr">
        <is>
          <t>Cost Basis / Notes</t>
        </is>
      </c>
    </row>
    <row r="4" ht="18" customHeight="1">
      <c r="A4" s="12" t="inlineStr">
        <is>
          <t>1.  ARMORY VAULT CONVERSION - 28 Barracks Rooms to 14 Armory Vaults</t>
        </is>
      </c>
    </row>
    <row r="5">
      <c r="A5" s="4" t="n">
        <v>4</v>
      </c>
      <c r="B5" s="4" t="inlineStr">
        <is>
          <t>Armory</t>
        </is>
      </c>
      <c r="C5" s="5" t="inlineStr">
        <is>
          <t>New vault doors/frames/locksets - GSA Class V, Hamilton CI-5 (4 armory hallway locations)</t>
        </is>
      </c>
      <c r="D5" s="13" t="n">
        <v>4</v>
      </c>
      <c r="E5" s="4" t="inlineStr">
        <is>
          <t>EA</t>
        </is>
      </c>
      <c r="F5" s="14" t="n">
        <v>14599.4</v>
      </c>
      <c r="G5" s="15">
        <f>D5*F5</f>
        <v/>
      </c>
      <c r="H5" s="10" t="inlineStr">
        <is>
          <t>C10</t>
        </is>
      </c>
      <c r="I5" s="5" t="inlineStr">
        <is>
          <t>Hamilton CI-5 door + flange set: $10,143.40 | Prorated air freight (TQL Global, 5-door shipment CVG-OKA): $1,956.00 | Install labor (certified 2-person crew, OCONUS): $2,500.00 | Unit total: $14,599.40</t>
        </is>
      </c>
    </row>
    <row r="6">
      <c r="A6" s="4" t="n">
        <v>8</v>
      </c>
      <c r="B6" s="4" t="inlineStr">
        <is>
          <t>Armory</t>
        </is>
      </c>
      <c r="C6" s="5" t="inlineStr">
        <is>
          <t>Structural walls to support vault doors, drop ceiling infrastructure</t>
        </is>
      </c>
      <c r="D6" s="13" t="n">
        <v>4</v>
      </c>
      <c r="E6" s="4" t="inlineStr">
        <is>
          <t>EA</t>
        </is>
      </c>
      <c r="F6" s="14" t="n">
        <v>15000</v>
      </c>
      <c r="G6" s="15">
        <f>D6*F6</f>
        <v/>
      </c>
      <c r="H6" s="10" t="inlineStr">
        <is>
          <t>C10</t>
        </is>
      </c>
      <c r="I6" s="5" t="inlineStr">
        <is>
          <t>Reinforced masonry/concrete walls, headers, lintels for vault door support</t>
        </is>
      </c>
    </row>
    <row r="7">
      <c r="A7" s="4" t="n">
        <v>5</v>
      </c>
      <c r="B7" s="4" t="inlineStr">
        <is>
          <t>Armory</t>
        </is>
      </c>
      <c r="C7" s="5" t="inlineStr">
        <is>
          <t>Remove 28 windows/frames and 2 exit doors/frames (30 openings total)</t>
        </is>
      </c>
      <c r="D7" s="13" t="n">
        <v>30</v>
      </c>
      <c r="E7" s="4" t="inlineStr">
        <is>
          <t>EA</t>
        </is>
      </c>
      <c r="F7" s="14" t="n">
        <v>500</v>
      </c>
      <c r="G7" s="15">
        <f>D7*F7</f>
        <v/>
      </c>
      <c r="H7" s="10" t="inlineStr">
        <is>
          <t>F20</t>
        </is>
      </c>
      <c r="I7" s="5" t="inlineStr">
        <is>
          <t>Window and door removal incl frame, disposal</t>
        </is>
      </c>
    </row>
    <row r="8">
      <c r="A8" s="4" t="n">
        <v>6</v>
      </c>
      <c r="B8" s="4" t="inlineStr">
        <is>
          <t>Armory</t>
        </is>
      </c>
      <c r="C8" s="5" t="inlineStr">
        <is>
          <t>CMU wall enclosures at 17 former window openings</t>
        </is>
      </c>
      <c r="D8" s="13" t="n">
        <v>17</v>
      </c>
      <c r="E8" s="4" t="inlineStr">
        <is>
          <t>EA</t>
        </is>
      </c>
      <c r="F8" s="14" t="n">
        <v>5000</v>
      </c>
      <c r="G8" s="15">
        <f>D8*F8</f>
        <v/>
      </c>
      <c r="H8" s="10" t="inlineStr">
        <is>
          <t>B20</t>
        </is>
      </c>
      <c r="I8" s="5" t="inlineStr">
        <is>
          <t>CMU infill 5'x6' openings: block, mortar, rebar, tie-in to existing structure</t>
        </is>
      </c>
    </row>
    <row r="9">
      <c r="A9" s="4" t="n">
        <v>6</v>
      </c>
      <c r="B9" s="4" t="inlineStr">
        <is>
          <t>Armory</t>
        </is>
      </c>
      <c r="C9" s="5" t="inlineStr">
        <is>
          <t>New weapons port issue windows - custom steel frame, ballistic rated (11 EA)</t>
        </is>
      </c>
      <c r="D9" s="13" t="n">
        <v>11</v>
      </c>
      <c r="E9" s="4" t="inlineStr">
        <is>
          <t>EA</t>
        </is>
      </c>
      <c r="F9" s="14" t="n">
        <v>3500</v>
      </c>
      <c r="G9" s="15">
        <f>D9*F9</f>
        <v/>
      </c>
      <c r="H9" s="10" t="inlineStr">
        <is>
          <t>B20</t>
        </is>
      </c>
      <c r="I9" s="5" t="inlineStr">
        <is>
          <t>Custom fabricated steel-frame weapon issue port windows, installed</t>
        </is>
      </c>
    </row>
    <row r="10">
      <c r="A10" s="4" t="n">
        <v>7</v>
      </c>
      <c r="B10" s="4" t="inlineStr">
        <is>
          <t>Armory</t>
        </is>
      </c>
      <c r="C10" s="5" t="inlineStr">
        <is>
          <t>Remove drop ceilings in all 28 armory rooms (6,270 SF)</t>
        </is>
      </c>
      <c r="D10" s="13" t="n">
        <v>6270</v>
      </c>
      <c r="E10" s="4" t="inlineStr">
        <is>
          <t>SF</t>
        </is>
      </c>
      <c r="F10" s="14" t="n">
        <v>4</v>
      </c>
      <c r="G10" s="15">
        <f>D10*F10</f>
        <v/>
      </c>
      <c r="H10" s="10" t="inlineStr">
        <is>
          <t>F20</t>
        </is>
      </c>
      <c r="I10" s="5" t="inlineStr">
        <is>
          <t>Ceiling grid/tile removal, disposal</t>
        </is>
      </c>
    </row>
    <row r="11">
      <c r="A11" s="4" t="n">
        <v>7</v>
      </c>
      <c r="B11" s="4" t="inlineStr">
        <is>
          <t>Armory</t>
        </is>
      </c>
      <c r="C11" s="5" t="inlineStr">
        <is>
          <t>Paint all armory interior walls - 28 rooms (6,270 SF)</t>
        </is>
      </c>
      <c r="D11" s="13" t="n">
        <v>6270</v>
      </c>
      <c r="E11" s="4" t="inlineStr">
        <is>
          <t>SF</t>
        </is>
      </c>
      <c r="F11" s="14" t="n">
        <v>4</v>
      </c>
      <c r="G11" s="15">
        <f>D11*F11</f>
        <v/>
      </c>
      <c r="H11" s="10" t="inlineStr">
        <is>
          <t>C30</t>
        </is>
      </c>
      <c r="I11" s="5" t="inlineStr">
        <is>
          <t>Interior latex paint, wall prep</t>
        </is>
      </c>
    </row>
    <row r="12">
      <c r="A12" s="4" t="n">
        <v>11</v>
      </c>
      <c r="B12" s="4" t="inlineStr">
        <is>
          <t>Armory</t>
        </is>
      </c>
      <c r="C12" s="5" t="inlineStr">
        <is>
          <t>Armory bathrooms: Remove CT floor/walls, refinish, paint - 11 bathrooms (~1,650 SF)</t>
        </is>
      </c>
      <c r="D12" s="13" t="n">
        <v>1650</v>
      </c>
      <c r="E12" s="4" t="inlineStr">
        <is>
          <t>SF</t>
        </is>
      </c>
      <c r="F12" s="14" t="n">
        <v>10</v>
      </c>
      <c r="G12" s="15">
        <f>D12*F12</f>
        <v/>
      </c>
      <c r="H12" s="10" t="inlineStr">
        <is>
          <t>C30</t>
        </is>
      </c>
      <c r="I12" s="5" t="inlineStr">
        <is>
          <t>Ceramic tile removal, skim coat, paint, VCT. 11 baths x 150 SF</t>
        </is>
      </c>
    </row>
    <row r="13">
      <c r="A13" s="4" t="n">
        <v>5</v>
      </c>
      <c r="B13" s="4" t="inlineStr">
        <is>
          <t>Armory</t>
        </is>
      </c>
      <c r="C13" s="5" t="inlineStr">
        <is>
          <t>Remove 11 bathroom fixture sets (toilet, tub, sink, accessories)</t>
        </is>
      </c>
      <c r="D13" s="13" t="n">
        <v>11</v>
      </c>
      <c r="E13" s="4" t="inlineStr">
        <is>
          <t>EA</t>
        </is>
      </c>
      <c r="F13" s="14" t="n">
        <v>2500</v>
      </c>
      <c r="G13" s="15">
        <f>D13*F13</f>
        <v/>
      </c>
      <c r="H13" s="10" t="inlineStr">
        <is>
          <t>F20</t>
        </is>
      </c>
      <c r="I13" s="5" t="inlineStr">
        <is>
          <t>Full fixture removal, disconnect, disposal per set</t>
        </is>
      </c>
    </row>
    <row r="14">
      <c r="A14" s="4" t="n">
        <v>12</v>
      </c>
      <c r="B14" s="4" t="inlineStr">
        <is>
          <t>Armory</t>
        </is>
      </c>
      <c r="C14" s="5" t="inlineStr">
        <is>
          <t>Cap plumbing lines - 11 armory bathrooms</t>
        </is>
      </c>
      <c r="D14" s="13" t="n">
        <v>11</v>
      </c>
      <c r="E14" s="4" t="inlineStr">
        <is>
          <t>EA</t>
        </is>
      </c>
      <c r="F14" s="14" t="n">
        <v>2000</v>
      </c>
      <c r="G14" s="15">
        <f>D14*F14</f>
        <v/>
      </c>
      <c r="H14" s="10" t="inlineStr">
        <is>
          <t>D20</t>
        </is>
      </c>
      <c r="I14" s="5" t="inlineStr">
        <is>
          <t>Cap water supply/drainage, includes access and patching</t>
        </is>
      </c>
    </row>
    <row r="15">
      <c r="A15" s="4" t="n">
        <v>13</v>
      </c>
      <c r="B15" s="4" t="inlineStr">
        <is>
          <t>Armory</t>
        </is>
      </c>
      <c r="C15" s="5" t="inlineStr">
        <is>
          <t>Adjust valves to limit deadlegs in capped armory plumbing lines</t>
        </is>
      </c>
      <c r="D15" s="13" t="n">
        <v>1</v>
      </c>
      <c r="E15" s="4" t="inlineStr">
        <is>
          <t>LS</t>
        </is>
      </c>
      <c r="F15" s="14" t="n">
        <v>10000</v>
      </c>
      <c r="G15" s="15">
        <f>D15*F15</f>
        <v/>
      </c>
      <c r="H15" s="10" t="inlineStr">
        <is>
          <t>D20</t>
        </is>
      </c>
      <c r="I15" s="5" t="inlineStr">
        <is>
          <t>System-wide valve adjustment to prevent stagnation</t>
        </is>
      </c>
    </row>
    <row r="16">
      <c r="A16" s="4" t="n">
        <v>10</v>
      </c>
      <c r="B16" s="4" t="inlineStr">
        <is>
          <t>Armory</t>
        </is>
      </c>
      <c r="C16" s="5" t="inlineStr">
        <is>
          <t>Realign all electrical/mechanical ceiling fixtures after ceiling removal - 28 rooms</t>
        </is>
      </c>
      <c r="D16" s="13" t="n">
        <v>28</v>
      </c>
      <c r="E16" s="4" t="inlineStr">
        <is>
          <t>EA</t>
        </is>
      </c>
      <c r="F16" s="14" t="n">
        <v>2000</v>
      </c>
      <c r="G16" s="15">
        <f>D16*F16</f>
        <v/>
      </c>
      <c r="H16" s="10" t="inlineStr">
        <is>
          <t>D30</t>
        </is>
      </c>
      <c r="I16" s="5" t="inlineStr">
        <is>
          <t>Relocate/adjust HVAC diffusers, sprinklers, fire alarm, lighting per room</t>
        </is>
      </c>
    </row>
    <row r="17">
      <c r="A17" s="4" t="n">
        <v>9</v>
      </c>
      <c r="B17" s="4" t="inlineStr">
        <is>
          <t>Armory</t>
        </is>
      </c>
      <c r="C17" s="5" t="inlineStr">
        <is>
          <t>Electronic Security System (IDS) - 2 zones, 14 vaults: panel, BMS, PIR, keypads, fiber, conduit</t>
        </is>
      </c>
      <c r="D17" s="13" t="n">
        <v>1</v>
      </c>
      <c r="E17" s="4" t="inlineStr">
        <is>
          <t>LS</t>
        </is>
      </c>
      <c r="F17" s="14" t="n">
        <v>400000</v>
      </c>
      <c r="G17" s="15">
        <f>D17*F17</f>
        <v/>
      </c>
      <c r="H17" s="10" t="inlineStr">
        <is>
          <t>D50</t>
        </is>
      </c>
      <c r="I17" s="5" t="inlineStr">
        <is>
          <t>ESAMS-compliant IDS: 2 zones, 14 vault areas, BMS, PIR, keypads, fiber backbone, conduit, testing</t>
        </is>
      </c>
    </row>
    <row r="18">
      <c r="A18" s="4" t="n">
        <v>14</v>
      </c>
      <c r="B18" s="4" t="inlineStr">
        <is>
          <t>Armory</t>
        </is>
      </c>
      <c r="C18" s="5" t="inlineStr">
        <is>
          <t>Install 28 new quad Work Area Outlets (WAOs) in armory spaces</t>
        </is>
      </c>
      <c r="D18" s="13" t="n">
        <v>28</v>
      </c>
      <c r="E18" s="4" t="inlineStr">
        <is>
          <t>EA</t>
        </is>
      </c>
      <c r="F18" s="14" t="n">
        <v>1000</v>
      </c>
      <c r="G18" s="15">
        <f>D18*F18</f>
        <v/>
      </c>
      <c r="H18" s="10" t="inlineStr">
        <is>
          <t>D50</t>
        </is>
      </c>
      <c r="I18" s="5" t="inlineStr">
        <is>
          <t>Quad WAO: 4-port data/voice outlet, conduit, cabling, termination</t>
        </is>
      </c>
    </row>
    <row r="19">
      <c r="A19" s="4" t="n">
        <v>15</v>
      </c>
      <c r="B19" s="4" t="inlineStr">
        <is>
          <t>Armory</t>
        </is>
      </c>
      <c r="C19" s="5" t="inlineStr">
        <is>
          <t>New metal shelves at 11 weapons issue port windows</t>
        </is>
      </c>
      <c r="D19" s="13" t="n">
        <v>11</v>
      </c>
      <c r="E19" s="4" t="inlineStr">
        <is>
          <t>EA</t>
        </is>
      </c>
      <c r="F19" s="14" t="n">
        <v>600</v>
      </c>
      <c r="G19" s="15">
        <f>D19*F19</f>
        <v/>
      </c>
      <c r="H19" s="10" t="inlineStr">
        <is>
          <t>E20</t>
        </is>
      </c>
      <c r="I19" s="5" t="inlineStr">
        <is>
          <t>Stainless/galvanized steel shelf, brackets, fasteners</t>
        </is>
      </c>
    </row>
    <row r="20" ht="18" customHeight="1">
      <c r="A20" s="12" t="inlineStr">
        <is>
          <t>2.  ARMORY EXTERIOR - Walkways, Landings, Concrete Pads</t>
        </is>
      </c>
    </row>
    <row r="21">
      <c r="A21" s="4" t="n">
        <v>2</v>
      </c>
      <c r="B21" s="4" t="inlineStr">
        <is>
          <t>Armory Ext</t>
        </is>
      </c>
      <c r="C21" s="5" t="inlineStr">
        <is>
          <t>Extend backside walkways - concrete sidewalk, safety railings (~200 LF)</t>
        </is>
      </c>
      <c r="D21" s="13" t="n">
        <v>200</v>
      </c>
      <c r="E21" s="4" t="inlineStr">
        <is>
          <t>LF</t>
        </is>
      </c>
      <c r="F21" s="14" t="n">
        <v>200</v>
      </c>
      <c r="G21" s="15">
        <f>D21*F21</f>
        <v/>
      </c>
      <c r="H21" s="10" t="inlineStr">
        <is>
          <t>G20</t>
        </is>
      </c>
      <c r="I21" s="5" t="inlineStr">
        <is>
          <t>Concrete sidewalk, railings, grading, landscaping</t>
        </is>
      </c>
    </row>
    <row r="22">
      <c r="A22" s="4" t="n">
        <v>3</v>
      </c>
      <c r="B22" s="4" t="inlineStr">
        <is>
          <t>Armory Ext</t>
        </is>
      </c>
      <c r="C22" s="5" t="inlineStr">
        <is>
          <t>New exterior landing/walkway at 11 weapons issue port windows</t>
        </is>
      </c>
      <c r="D22" s="13" t="n">
        <v>11</v>
      </c>
      <c r="E22" s="4" t="inlineStr">
        <is>
          <t>EA</t>
        </is>
      </c>
      <c r="F22" s="14" t="n">
        <v>1400</v>
      </c>
      <c r="G22" s="15">
        <f>D22*F22</f>
        <v/>
      </c>
      <c r="H22" s="10" t="inlineStr">
        <is>
          <t>G20</t>
        </is>
      </c>
      <c r="I22" s="5" t="inlineStr">
        <is>
          <t>Concrete landing pad ~100 SF each at 11 issue window locations</t>
        </is>
      </c>
    </row>
    <row r="23">
      <c r="A23" s="4" t="n">
        <v>16</v>
      </c>
      <c r="B23" s="4" t="inlineStr">
        <is>
          <t>Armory Ext</t>
        </is>
      </c>
      <c r="C23" s="5" t="inlineStr">
        <is>
          <t>New exterior concrete pads at issue windows - civil (11 locations x 80 SF)</t>
        </is>
      </c>
      <c r="D23" s="13" t="n">
        <v>880</v>
      </c>
      <c r="E23" s="4" t="inlineStr">
        <is>
          <t>SF</t>
        </is>
      </c>
      <c r="F23" s="14" t="n">
        <v>14</v>
      </c>
      <c r="G23" s="15">
        <f>D23*F23</f>
        <v/>
      </c>
      <c r="H23" s="10" t="inlineStr">
        <is>
          <t>G20</t>
        </is>
      </c>
      <c r="I23" s="5" t="inlineStr">
        <is>
          <t>Formed concrete pad, 4 inch, gravel base</t>
        </is>
      </c>
    </row>
    <row r="24" ht="18" customHeight="1">
      <c r="A24" s="12" t="inlineStr">
        <is>
          <t>3.  GYM TO WORKSPACE CONVERSION - CLB-4 Commo Swing Space to 4th MarRegt Admin/Ops</t>
        </is>
      </c>
    </row>
    <row r="25">
      <c r="A25" s="4" t="n">
        <v>1</v>
      </c>
      <c r="B25" s="4" t="inlineStr">
        <is>
          <t>Gym/Admin</t>
        </is>
      </c>
      <c r="C25" s="5" t="inlineStr">
        <is>
          <t>Gym hallway: Patch concrete baseboard/wall, paint interior, new VCT flooring</t>
        </is>
      </c>
      <c r="D25" s="13" t="n">
        <v>1</v>
      </c>
      <c r="E25" s="4" t="inlineStr">
        <is>
          <t>LS</t>
        </is>
      </c>
      <c r="F25" s="14" t="n">
        <v>5000</v>
      </c>
      <c r="G25" s="15">
        <f>D25*F25</f>
        <v/>
      </c>
      <c r="H25" s="10" t="inlineStr">
        <is>
          <t>C30</t>
        </is>
      </c>
      <c r="I25" s="5" t="inlineStr">
        <is>
          <t>Minor patching, paint, and flooring in gym hallway</t>
        </is>
      </c>
    </row>
    <row r="26" ht="18" customHeight="1">
      <c r="A26" s="12" t="inlineStr">
        <is>
          <t>4.  COMM ROOM &amp; WEAPONS CLEANING AREA</t>
        </is>
      </c>
    </row>
    <row r="27">
      <c r="A27" s="4" t="n">
        <v>17</v>
      </c>
      <c r="B27" s="4" t="inlineStr">
        <is>
          <t>Comm Room</t>
        </is>
      </c>
      <c r="C27" s="5" t="inlineStr">
        <is>
          <t>Add exhaust ventilation to new indoor weapons cleaning area</t>
        </is>
      </c>
      <c r="D27" s="13" t="n">
        <v>1</v>
      </c>
      <c r="E27" s="4" t="inlineStr">
        <is>
          <t>LS</t>
        </is>
      </c>
      <c r="F27" s="14" t="n">
        <v>15000</v>
      </c>
      <c r="G27" s="15">
        <f>D27*F27</f>
        <v/>
      </c>
      <c r="H27" s="10" t="inlineStr">
        <is>
          <t>D30</t>
        </is>
      </c>
      <c r="I27" s="5" t="inlineStr">
        <is>
          <t>Exhaust fan, ductwork, exterior louver, controls for weapons cleaning fumes</t>
        </is>
      </c>
    </row>
    <row r="28">
      <c r="A28" s="4" t="n">
        <v>18</v>
      </c>
      <c r="B28" s="4" t="inlineStr">
        <is>
          <t>Comm Room</t>
        </is>
      </c>
      <c r="C28" s="5" t="inlineStr">
        <is>
          <t>Rec Room: New COMM room 8'x10' w/ gypsum walls, VCT, paint; replace acoustical ceiling</t>
        </is>
      </c>
      <c r="D28" s="13" t="n">
        <v>1</v>
      </c>
      <c r="E28" s="4" t="inlineStr">
        <is>
          <t>LS</t>
        </is>
      </c>
      <c r="F28" s="14" t="n">
        <v>15000</v>
      </c>
      <c r="G28" s="15">
        <f>D28*F28</f>
        <v/>
      </c>
      <c r="H28" s="10" t="inlineStr">
        <is>
          <t>C10</t>
        </is>
      </c>
      <c r="I28" s="5" t="inlineStr">
        <is>
          <t>New 80 SF room: partitions, door, ceiling, flooring, paint</t>
        </is>
      </c>
    </row>
    <row r="29">
      <c r="A29" s="4" t="n">
        <v>20</v>
      </c>
      <c r="B29" s="4" t="inlineStr">
        <is>
          <t>Comm Room</t>
        </is>
      </c>
      <c r="C29" s="5" t="inlineStr">
        <is>
          <t>Rec Room: New electrical outlets and switches in COMM room</t>
        </is>
      </c>
      <c r="D29" s="13" t="n">
        <v>1</v>
      </c>
      <c r="E29" s="4" t="inlineStr">
        <is>
          <t>LS</t>
        </is>
      </c>
      <c r="F29" s="14" t="n">
        <v>8000</v>
      </c>
      <c r="G29" s="15">
        <f>D29*F29</f>
        <v/>
      </c>
      <c r="H29" s="10" t="inlineStr">
        <is>
          <t>D50</t>
        </is>
      </c>
      <c r="I29" s="5" t="inlineStr">
        <is>
          <t>Outlets, switches, dedicated circuits for comm equipment</t>
        </is>
      </c>
    </row>
    <row r="30">
      <c r="A30" s="4" t="n">
        <v>21</v>
      </c>
      <c r="B30" s="4" t="inlineStr">
        <is>
          <t>Comm Room</t>
        </is>
      </c>
      <c r="C30" s="5" t="inlineStr">
        <is>
          <t>Split A/C systems for telecom room and COMMSEC storage vault (2 EA)</t>
        </is>
      </c>
      <c r="D30" s="13" t="n">
        <v>2</v>
      </c>
      <c r="E30" s="4" t="inlineStr">
        <is>
          <t>EA</t>
        </is>
      </c>
      <c r="F30" s="14" t="n">
        <v>12000</v>
      </c>
      <c r="G30" s="15">
        <f>D30*F30</f>
        <v/>
      </c>
      <c r="H30" s="10" t="inlineStr">
        <is>
          <t>D30</t>
        </is>
      </c>
      <c r="I30" s="5" t="inlineStr">
        <is>
          <t>Ductless mini-split A/C, dedicated cooling for telecom/COMMSEC spaces</t>
        </is>
      </c>
    </row>
    <row r="31" ht="18" customHeight="1">
      <c r="A31" s="12" t="inlineStr">
        <is>
          <t>5.  ADMIN - Laundry Room Conversion to Administrative Workspace</t>
        </is>
      </c>
    </row>
    <row r="32">
      <c r="A32" s="4" t="n">
        <v>22</v>
      </c>
      <c r="B32" s="4" t="inlineStr">
        <is>
          <t>Admin</t>
        </is>
      </c>
      <c r="C32" s="5" t="inlineStr">
        <is>
          <t>Adjust HVAC supply duct/diffusers and exhaust for admin use in laundry room</t>
        </is>
      </c>
      <c r="D32" s="13" t="n">
        <v>1</v>
      </c>
      <c r="E32" s="4" t="inlineStr">
        <is>
          <t>LS</t>
        </is>
      </c>
      <c r="F32" s="14" t="n">
        <v>8000</v>
      </c>
      <c r="G32" s="15">
        <f>D32*F32</f>
        <v/>
      </c>
      <c r="H32" s="10" t="inlineStr">
        <is>
          <t>D30</t>
        </is>
      </c>
      <c r="I32" s="5" t="inlineStr">
        <is>
          <t>Reroute/adjust ductwork, diffusers, registers for office occupancy</t>
        </is>
      </c>
    </row>
    <row r="33">
      <c r="A33" s="4" t="n">
        <v>23</v>
      </c>
      <c r="B33" s="4" t="inlineStr">
        <is>
          <t>Admin</t>
        </is>
      </c>
      <c r="C33" s="5" t="inlineStr">
        <is>
          <t>Cap water supply, drainage, floor drains for washers and utility sink; adjust valves</t>
        </is>
      </c>
      <c r="D33" s="13" t="n">
        <v>1</v>
      </c>
      <c r="E33" s="4" t="inlineStr">
        <is>
          <t>LS</t>
        </is>
      </c>
      <c r="F33" s="14" t="n">
        <v>5000</v>
      </c>
      <c r="G33" s="15">
        <f>D33*F33</f>
        <v/>
      </c>
      <c r="H33" s="10" t="inlineStr">
        <is>
          <t>D20</t>
        </is>
      </c>
      <c r="I33" s="5" t="inlineStr">
        <is>
          <t>Cap and seal all laundry plumbing, reduce deadlegs</t>
        </is>
      </c>
    </row>
    <row r="34">
      <c r="A34" s="4" t="n">
        <v>24</v>
      </c>
      <c r="B34" s="4" t="inlineStr">
        <is>
          <t>Admin</t>
        </is>
      </c>
      <c r="C34" s="5" t="inlineStr">
        <is>
          <t>Laundry Room: Repaint all interior walls, new VCT flooring (~300 SF)</t>
        </is>
      </c>
      <c r="D34" s="13" t="n">
        <v>300</v>
      </c>
      <c r="E34" s="4" t="inlineStr">
        <is>
          <t>SF</t>
        </is>
      </c>
      <c r="F34" s="14" t="n">
        <v>9</v>
      </c>
      <c r="G34" s="15">
        <f>D34*F34</f>
        <v/>
      </c>
      <c r="H34" s="10" t="inlineStr">
        <is>
          <t>C30</t>
        </is>
      </c>
      <c r="I34" s="5" t="inlineStr">
        <is>
          <t>Interior paint + VCT: $4/SF paint + $5/SF VCT</t>
        </is>
      </c>
    </row>
    <row r="35">
      <c r="A35" s="4" t="n">
        <v>25</v>
      </c>
      <c r="B35" s="4" t="inlineStr">
        <is>
          <t>Admin</t>
        </is>
      </c>
      <c r="C35" s="5" t="inlineStr">
        <is>
          <t>Remove dryer exhaust duct and cap wall vent</t>
        </is>
      </c>
      <c r="D35" s="13" t="n">
        <v>1</v>
      </c>
      <c r="E35" s="4" t="inlineStr">
        <is>
          <t>LS</t>
        </is>
      </c>
      <c r="F35" s="14" t="n">
        <v>1500</v>
      </c>
      <c r="G35" s="15">
        <f>D35*F35</f>
        <v/>
      </c>
      <c r="H35" s="10" t="inlineStr">
        <is>
          <t>F20</t>
        </is>
      </c>
      <c r="I35" s="5" t="inlineStr">
        <is>
          <t>Duct removal, vent cap, patch and paint exterior/interior wall</t>
        </is>
      </c>
    </row>
    <row r="36" ht="18" customHeight="1">
      <c r="A36" s="12" t="inlineStr">
        <is>
          <t>6.  BATHS TO OSS VAULT - Locker Rooms / Sauna / Steam Room to OSS w/ SIPR Network</t>
        </is>
      </c>
    </row>
    <row r="37">
      <c r="A37" s="4" t="n">
        <v>26</v>
      </c>
      <c r="B37" s="4" t="inlineStr">
        <is>
          <t>Baths&gt;OSS</t>
        </is>
      </c>
      <c r="C37" s="5" t="inlineStr">
        <is>
          <t>Demo CIP concrete walls in shower/locker/sauna areas for open floorplan</t>
        </is>
      </c>
      <c r="D37" s="13" t="n">
        <v>1</v>
      </c>
      <c r="E37" s="4" t="inlineStr">
        <is>
          <t>LS</t>
        </is>
      </c>
      <c r="F37" s="14" t="n">
        <v>30000</v>
      </c>
      <c r="G37" s="15">
        <f>D37*F37</f>
        <v/>
      </c>
      <c r="H37" s="10" t="inlineStr">
        <is>
          <t>F20</t>
        </is>
      </c>
      <c r="I37" s="5" t="inlineStr">
        <is>
          <t>Structural demolition of CIP concrete walls - engineering assessment required for load-bearing</t>
        </is>
      </c>
    </row>
    <row r="38">
      <c r="A38" s="4" t="n">
        <v>35</v>
      </c>
      <c r="B38" s="4" t="inlineStr">
        <is>
          <t>Baths&gt;OSS</t>
        </is>
      </c>
      <c r="C38" s="5" t="inlineStr">
        <is>
          <t>Cut CIP wall for new door opening from showers to hallway</t>
        </is>
      </c>
      <c r="D38" s="13" t="n">
        <v>1</v>
      </c>
      <c r="E38" s="4" t="inlineStr">
        <is>
          <t>EA</t>
        </is>
      </c>
      <c r="F38" s="14" t="n">
        <v>5000</v>
      </c>
      <c r="G38" s="15">
        <f>D38*F38</f>
        <v/>
      </c>
      <c r="H38" s="10" t="inlineStr">
        <is>
          <t>F20</t>
        </is>
      </c>
      <c r="I38" s="5" t="inlineStr">
        <is>
          <t>Saw-cut CIP wall, install new header/frame - structural engineering required</t>
        </is>
      </c>
    </row>
    <row r="39">
      <c r="A39" s="4" t="n">
        <v>39</v>
      </c>
      <c r="B39" s="4" t="inlineStr">
        <is>
          <t>Baths&gt;OSS</t>
        </is>
      </c>
      <c r="C39" s="5" t="inlineStr">
        <is>
          <t>Mens: Complete demo - toilet partitions, CT floor/walls, fixtures, lockers, ceiling, showers</t>
        </is>
      </c>
      <c r="D39" s="13" t="n">
        <v>1</v>
      </c>
      <c r="E39" s="4" t="inlineStr">
        <is>
          <t>LS</t>
        </is>
      </c>
      <c r="F39" s="14" t="n">
        <v>14000</v>
      </c>
      <c r="G39" s="15">
        <f>D39*F39</f>
        <v/>
      </c>
      <c r="H39" s="10" t="inlineStr">
        <is>
          <t>F20</t>
        </is>
      </c>
      <c r="I39" s="5" t="inlineStr">
        <is>
          <t>Full gut: 2 toilets, 2 urinals, 2 sinks, 2 showers, partitions, lockers, tile, ceiling</t>
        </is>
      </c>
    </row>
    <row r="40">
      <c r="A40" s="4" t="n">
        <v>40</v>
      </c>
      <c r="B40" s="4" t="inlineStr">
        <is>
          <t>Baths&gt;OSS</t>
        </is>
      </c>
      <c r="C40" s="5" t="inlineStr">
        <is>
          <t>Womens: Complete demo - benches, showers, fixtures, CT floor/walls, partitions, ceiling</t>
        </is>
      </c>
      <c r="D40" s="13" t="n">
        <v>1</v>
      </c>
      <c r="E40" s="4" t="inlineStr">
        <is>
          <t>LS</t>
        </is>
      </c>
      <c r="F40" s="14" t="n">
        <v>12000</v>
      </c>
      <c r="G40" s="15">
        <f>D40*F40</f>
        <v/>
      </c>
      <c r="H40" s="10" t="inlineStr">
        <is>
          <t>F20</t>
        </is>
      </c>
      <c r="I40" s="5" t="inlineStr">
        <is>
          <t>Full gut: 2 showers, 2 toilets, 2 sinks, partitions, tile, ceiling</t>
        </is>
      </c>
    </row>
    <row r="41">
      <c r="A41" s="4" t="n">
        <v>30</v>
      </c>
      <c r="B41" s="4" t="inlineStr">
        <is>
          <t>Baths&gt;OSS</t>
        </is>
      </c>
      <c r="C41" s="5" t="inlineStr">
        <is>
          <t>Sauna Room: Remove all wood seats/benches/ceiling/walls/flooring, brick enclosure, exhaust vents</t>
        </is>
      </c>
      <c r="D41" s="13" t="n">
        <v>1</v>
      </c>
      <c r="E41" s="4" t="inlineStr">
        <is>
          <t>LS</t>
        </is>
      </c>
      <c r="F41" s="14" t="n">
        <v>8000</v>
      </c>
      <c r="G41" s="15">
        <f>D41*F41</f>
        <v/>
      </c>
      <c r="H41" s="10" t="inlineStr">
        <is>
          <t>F20</t>
        </is>
      </c>
      <c r="I41" s="5" t="inlineStr">
        <is>
          <t>Complete sauna strip-out to bare structure</t>
        </is>
      </c>
    </row>
    <row r="42">
      <c r="A42" s="4" t="n">
        <v>43</v>
      </c>
      <c r="B42" s="4" t="inlineStr">
        <is>
          <t>Baths&gt;OSS</t>
        </is>
      </c>
      <c r="C42" s="5" t="inlineStr">
        <is>
          <t>Steam Room: Remove ceramic tile walls, benches, flooring, door/frame</t>
        </is>
      </c>
      <c r="D42" s="13" t="n">
        <v>1</v>
      </c>
      <c r="E42" s="4" t="inlineStr">
        <is>
          <t>LS</t>
        </is>
      </c>
      <c r="F42" s="14" t="n">
        <v>6000</v>
      </c>
      <c r="G42" s="15">
        <f>D42*F42</f>
        <v/>
      </c>
      <c r="H42" s="10" t="inlineStr">
        <is>
          <t>F20</t>
        </is>
      </c>
      <c r="I42" s="5" t="inlineStr">
        <is>
          <t>Complete steam room strip-out including tile and moisture barriers</t>
        </is>
      </c>
    </row>
    <row r="43">
      <c r="A43" s="4" t="n">
        <v>27</v>
      </c>
      <c r="B43" s="4" t="inlineStr">
        <is>
          <t>Baths&gt;OSS</t>
        </is>
      </c>
      <c r="C43" s="5" t="inlineStr">
        <is>
          <t>Mens: New ceiling, wall refinish/paint, level floor, VCT, plug drains (~398 SF)</t>
        </is>
      </c>
      <c r="D43" s="13" t="n">
        <v>398</v>
      </c>
      <c r="E43" s="4" t="inlineStr">
        <is>
          <t>SF</t>
        </is>
      </c>
      <c r="F43" s="14" t="n">
        <v>35</v>
      </c>
      <c r="G43" s="15">
        <f>D43*F43</f>
        <v/>
      </c>
      <c r="H43" s="10" t="inlineStr">
        <is>
          <t>C30</t>
        </is>
      </c>
      <c r="I43" s="5" t="inlineStr">
        <is>
          <t>Full renovation finishes: ceiling grid/tile, wall prep/paint, floor leveling, VCT</t>
        </is>
      </c>
    </row>
    <row r="44">
      <c r="A44" s="4" t="n">
        <v>28</v>
      </c>
      <c r="B44" s="4" t="inlineStr">
        <is>
          <t>Baths&gt;OSS</t>
        </is>
      </c>
      <c r="C44" s="5" t="inlineStr">
        <is>
          <t>Womens: New lighting, VCT flooring, wall refinish/paint, new alum door/frame/lockset (~300 SF)</t>
        </is>
      </c>
      <c r="D44" s="13" t="n">
        <v>300</v>
      </c>
      <c r="E44" s="4" t="inlineStr">
        <is>
          <t>SF</t>
        </is>
      </c>
      <c r="F44" s="14" t="n">
        <v>32</v>
      </c>
      <c r="G44" s="15">
        <f>D44*F44</f>
        <v/>
      </c>
      <c r="H44" s="10" t="inlineStr">
        <is>
          <t>C30</t>
        </is>
      </c>
      <c r="I44" s="5" t="inlineStr">
        <is>
          <t>Full renovation finishes + new aluminum entry door assembly</t>
        </is>
      </c>
    </row>
    <row r="45">
      <c r="A45" s="4" t="n">
        <v>41</v>
      </c>
      <c r="B45" s="4" t="inlineStr">
        <is>
          <t>Baths&gt;OSS</t>
        </is>
      </c>
      <c r="C45" s="5" t="inlineStr">
        <is>
          <t>Sauna Room: New VCT flooring, refinish concrete walls, new ceiling, entry door (~97 SF)</t>
        </is>
      </c>
      <c r="D45" s="13" t="n">
        <v>97</v>
      </c>
      <c r="E45" s="4" t="inlineStr">
        <is>
          <t>SF</t>
        </is>
      </c>
      <c r="F45" s="14" t="n">
        <v>28</v>
      </c>
      <c r="G45" s="15">
        <f>D45*F45</f>
        <v/>
      </c>
      <c r="H45" s="10" t="inlineStr">
        <is>
          <t>C30</t>
        </is>
      </c>
      <c r="I45" s="5" t="inlineStr">
        <is>
          <t>Convert to admin space: floor, walls, ceiling, door</t>
        </is>
      </c>
    </row>
    <row r="46">
      <c r="A46" s="4" t="n">
        <v>42</v>
      </c>
      <c r="B46" s="4" t="inlineStr">
        <is>
          <t>Baths&gt;OSS</t>
        </is>
      </c>
      <c r="C46" s="5" t="inlineStr">
        <is>
          <t>Steam Room: New VCT flooring, refinish concrete walls, new ceiling, entry door (~124 SF)</t>
        </is>
      </c>
      <c r="D46" s="13" t="n">
        <v>124</v>
      </c>
      <c r="E46" s="4" t="inlineStr">
        <is>
          <t>SF</t>
        </is>
      </c>
      <c r="F46" s="14" t="n">
        <v>28</v>
      </c>
      <c r="G46" s="15">
        <f>D46*F46</f>
        <v/>
      </c>
      <c r="H46" s="10" t="inlineStr">
        <is>
          <t>C30</t>
        </is>
      </c>
      <c r="I46" s="5" t="inlineStr">
        <is>
          <t>Convert to admin space: floor, walls, ceiling, door</t>
        </is>
      </c>
    </row>
    <row r="47">
      <c r="A47" s="4" t="n">
        <v>31</v>
      </c>
      <c r="B47" s="4" t="inlineStr">
        <is>
          <t>Baths&gt;OSS</t>
        </is>
      </c>
      <c r="C47" s="5" t="inlineStr">
        <is>
          <t>Fitness Room Vault: New security door/frame/lockset/closure (X-10 combination lock)</t>
        </is>
      </c>
      <c r="D47" s="13" t="n">
        <v>1</v>
      </c>
      <c r="E47" s="4" t="inlineStr">
        <is>
          <t>EA</t>
        </is>
      </c>
      <c r="F47" s="14" t="n">
        <v>4000</v>
      </c>
      <c r="G47" s="15">
        <f>D47*F47</f>
        <v/>
      </c>
      <c r="H47" s="10" t="inlineStr">
        <is>
          <t>C10</t>
        </is>
      </c>
      <c r="I47" s="5" t="inlineStr">
        <is>
          <t>Heavy-duty security door with X-10 lock for COMMSEC storage</t>
        </is>
      </c>
    </row>
    <row r="48">
      <c r="A48" s="4" t="n">
        <v>36</v>
      </c>
      <c r="B48" s="4" t="inlineStr">
        <is>
          <t>Baths&gt;OSS</t>
        </is>
      </c>
      <c r="C48" s="5" t="inlineStr">
        <is>
          <t>Modify/cap/remove all plumbing - sauna, steam, mens/womens locker rooms</t>
        </is>
      </c>
      <c r="D48" s="13" t="n">
        <v>1</v>
      </c>
      <c r="E48" s="4" t="inlineStr">
        <is>
          <t>LS</t>
        </is>
      </c>
      <c r="F48" s="14" t="n">
        <v>18000</v>
      </c>
      <c r="G48" s="15">
        <f>D48*F48</f>
        <v/>
      </c>
      <c r="H48" s="10" t="inlineStr">
        <is>
          <t>D20</t>
        </is>
      </c>
      <c r="I48" s="5" t="inlineStr">
        <is>
          <t>Full plumbing removal/capping across 4 wet areas</t>
        </is>
      </c>
    </row>
    <row r="49">
      <c r="A49" s="4" t="n">
        <v>37</v>
      </c>
      <c r="B49" s="4" t="inlineStr">
        <is>
          <t>Baths&gt;OSS</t>
        </is>
      </c>
      <c r="C49" s="5" t="inlineStr">
        <is>
          <t>Install new DX multi-zone split A/C system for new OSS area</t>
        </is>
      </c>
      <c r="D49" s="13" t="n">
        <v>1</v>
      </c>
      <c r="E49" s="4" t="inlineStr">
        <is>
          <t>LS</t>
        </is>
      </c>
      <c r="F49" s="14" t="n">
        <v>65000</v>
      </c>
      <c r="G49" s="15">
        <f>D49*F49</f>
        <v/>
      </c>
      <c r="H49" s="10" t="inlineStr">
        <is>
          <t>D30</t>
        </is>
      </c>
      <c r="I49" s="5" t="inlineStr">
        <is>
          <t>Multi-zone VRF/DX: outdoor unit, indoor units, refrigerant piping, controls, startup</t>
        </is>
      </c>
    </row>
    <row r="50">
      <c r="A50" s="4" t="n">
        <v>29</v>
      </c>
      <c r="B50" s="4" t="inlineStr">
        <is>
          <t>Baths&gt;OSS</t>
        </is>
      </c>
      <c r="C50" s="5" t="inlineStr">
        <is>
          <t>Steam Room area: New electrical light fixtures, outlets, switches, COMM drops</t>
        </is>
      </c>
      <c r="D50" s="13" t="n">
        <v>1</v>
      </c>
      <c r="E50" s="4" t="inlineStr">
        <is>
          <t>LS</t>
        </is>
      </c>
      <c r="F50" s="14" t="n">
        <v>5000</v>
      </c>
      <c r="G50" s="15">
        <f>D50*F50</f>
        <v/>
      </c>
      <c r="H50" s="10" t="inlineStr">
        <is>
          <t>D50</t>
        </is>
      </c>
      <c r="I50" s="5" t="inlineStr">
        <is>
          <t>Electrical fit-out for converted admin space</t>
        </is>
      </c>
    </row>
    <row r="51">
      <c r="A51" s="4" t="n">
        <v>32</v>
      </c>
      <c r="B51" s="4" t="inlineStr">
        <is>
          <t>Baths&gt;OSS</t>
        </is>
      </c>
      <c r="C51" s="5" t="inlineStr">
        <is>
          <t>Sauna Room: Remove existing electrical, new lights/outlets/switches, COMM drops</t>
        </is>
      </c>
      <c r="D51" s="13" t="n">
        <v>1</v>
      </c>
      <c r="E51" s="4" t="inlineStr">
        <is>
          <t>LS</t>
        </is>
      </c>
      <c r="F51" s="14" t="n">
        <v>7000</v>
      </c>
      <c r="G51" s="15">
        <f>D51*F51</f>
        <v/>
      </c>
      <c r="H51" s="10" t="inlineStr">
        <is>
          <t>D50</t>
        </is>
      </c>
      <c r="I51" s="5" t="inlineStr">
        <is>
          <t>Full electrical replacement for converted space</t>
        </is>
      </c>
    </row>
    <row r="52">
      <c r="A52" s="4" t="n">
        <v>33</v>
      </c>
      <c r="B52" s="4" t="inlineStr">
        <is>
          <t>Baths&gt;OSS</t>
        </is>
      </c>
      <c r="C52" s="5" t="inlineStr">
        <is>
          <t>Mens: New electrical light fixtures, outlets, switches, COMM requirements</t>
        </is>
      </c>
      <c r="D52" s="13" t="n">
        <v>1</v>
      </c>
      <c r="E52" s="4" t="inlineStr">
        <is>
          <t>LS</t>
        </is>
      </c>
      <c r="F52" s="14" t="n">
        <v>6000</v>
      </c>
      <c r="G52" s="15">
        <f>D52*F52</f>
        <v/>
      </c>
      <c r="H52" s="10" t="inlineStr">
        <is>
          <t>D50</t>
        </is>
      </c>
      <c r="I52" s="5" t="inlineStr">
        <is>
          <t>Electrical fit-out for converted admin space</t>
        </is>
      </c>
    </row>
    <row r="53">
      <c r="A53" s="4" t="n">
        <v>34</v>
      </c>
      <c r="B53" s="4" t="inlineStr">
        <is>
          <t>Baths&gt;OSS</t>
        </is>
      </c>
      <c r="C53" s="5" t="inlineStr">
        <is>
          <t>Womens: New electrical fixtures, wiring, outlets, switches, relocate fire alarm</t>
        </is>
      </c>
      <c r="D53" s="13" t="n">
        <v>1</v>
      </c>
      <c r="E53" s="4" t="inlineStr">
        <is>
          <t>LS</t>
        </is>
      </c>
      <c r="F53" s="14" t="n">
        <v>6000</v>
      </c>
      <c r="G53" s="15">
        <f>D53*F53</f>
        <v/>
      </c>
      <c r="H53" s="10" t="inlineStr">
        <is>
          <t>D50</t>
        </is>
      </c>
      <c r="I53" s="5" t="inlineStr">
        <is>
          <t>Electrical fit-out + fire alarm relocation</t>
        </is>
      </c>
    </row>
    <row r="54">
      <c r="A54" s="4" t="n">
        <v>44</v>
      </c>
      <c r="B54" s="4" t="inlineStr">
        <is>
          <t>Baths&gt;OSS</t>
        </is>
      </c>
      <c r="C54" s="5" t="inlineStr">
        <is>
          <t>Steam Room: Remove electrical fixtures/lights/alarms/wiring</t>
        </is>
      </c>
      <c r="D54" s="13" t="n">
        <v>1</v>
      </c>
      <c r="E54" s="4" t="inlineStr">
        <is>
          <t>LS</t>
        </is>
      </c>
      <c r="F54" s="14" t="n">
        <v>3500</v>
      </c>
      <c r="G54" s="15">
        <f>D54*F54</f>
        <v/>
      </c>
      <c r="H54" s="10" t="inlineStr">
        <is>
          <t>F20</t>
        </is>
      </c>
      <c r="I54" s="5" t="inlineStr">
        <is>
          <t>Demo tier electrical removal (supplement item 29)</t>
        </is>
      </c>
    </row>
    <row r="55">
      <c r="A55" s="4" t="n">
        <v>45</v>
      </c>
      <c r="B55" s="4" t="inlineStr">
        <is>
          <t>Baths&gt;OSS</t>
        </is>
      </c>
      <c r="C55" s="5" t="inlineStr">
        <is>
          <t>Mens: Remove all electrical light fixtures and switches</t>
        </is>
      </c>
      <c r="D55" s="13" t="n">
        <v>1</v>
      </c>
      <c r="E55" s="4" t="inlineStr">
        <is>
          <t>LS</t>
        </is>
      </c>
      <c r="F55" s="14" t="n">
        <v>2000</v>
      </c>
      <c r="G55" s="15">
        <f>D55*F55</f>
        <v/>
      </c>
      <c r="H55" s="10" t="inlineStr">
        <is>
          <t>F20</t>
        </is>
      </c>
      <c r="I55" s="5" t="inlineStr">
        <is>
          <t>Demo tier electrical removal</t>
        </is>
      </c>
    </row>
    <row r="56">
      <c r="A56" s="4" t="n">
        <v>46</v>
      </c>
      <c r="B56" s="4" t="inlineStr">
        <is>
          <t>Baths&gt;OSS</t>
        </is>
      </c>
      <c r="C56" s="5" t="inlineStr">
        <is>
          <t>Womens: Remove all electrical fixtures, wiring, outlets, switches</t>
        </is>
      </c>
      <c r="D56" s="13" t="n">
        <v>1</v>
      </c>
      <c r="E56" s="4" t="inlineStr">
        <is>
          <t>LS</t>
        </is>
      </c>
      <c r="F56" s="14" t="n">
        <v>2000</v>
      </c>
      <c r="G56" s="15">
        <f>D56*F56</f>
        <v/>
      </c>
      <c r="H56" s="10" t="inlineStr">
        <is>
          <t>F20</t>
        </is>
      </c>
      <c r="I56" s="5" t="inlineStr">
        <is>
          <t>Demo tier electrical removal</t>
        </is>
      </c>
    </row>
    <row r="57">
      <c r="A57" s="4" t="n">
        <v>38</v>
      </c>
      <c r="B57" s="4" t="inlineStr">
        <is>
          <t>Baths&gt;OSS</t>
        </is>
      </c>
      <c r="C57" s="5" t="inlineStr">
        <is>
          <t>SIPR network: Lockable wallmount enclosure, backboard, ground bus bar, fiber optic from TR, ~10 quad WAOs, conduit - CNSSAM TEMPEST/01-13</t>
        </is>
      </c>
      <c r="D57" s="13" t="n">
        <v>1</v>
      </c>
      <c r="E57" s="4" t="inlineStr">
        <is>
          <t>LS</t>
        </is>
      </c>
      <c r="F57" s="14" t="n">
        <v>220000</v>
      </c>
      <c r="G57" s="15">
        <f>D57*F57</f>
        <v/>
      </c>
      <c r="H57" s="10" t="inlineStr">
        <is>
          <t>D50</t>
        </is>
      </c>
      <c r="I57" s="5" t="inlineStr">
        <is>
          <t>Full SIPR infrastructure per CNSSAM TEMPEST/01-13: enclosure, backboard, bus bar, fiber, WAOs, conduit, testing</t>
        </is>
      </c>
    </row>
    <row r="58">
      <c r="A58" s="4" t="n">
        <v>63</v>
      </c>
      <c r="B58" s="4" t="inlineStr">
        <is>
          <t>Baths&gt;OSS</t>
        </is>
      </c>
      <c r="C58" s="5" t="inlineStr">
        <is>
          <t>OSS Vault entrance: GSA Class V vault door, frame, flange set, hardware, certified installation, and prorated air shipping (1 EA)</t>
        </is>
      </c>
      <c r="D58" s="13" t="n">
        <v>1</v>
      </c>
      <c r="E58" s="4" t="inlineStr">
        <is>
          <t>EA</t>
        </is>
      </c>
      <c r="F58" s="14" t="n">
        <v>14599.4</v>
      </c>
      <c r="G58" s="15">
        <f>D58*F58</f>
        <v/>
      </c>
      <c r="H58" s="10" t="inlineStr">
        <is>
          <t>C10</t>
        </is>
      </c>
      <c r="I58" s="5" t="inlineStr">
        <is>
          <t>Hamilton CI-5 door + flange set: $10,143.40 | Prorated air freight (TQL Global, 5-door shipment, CVG-OKA): $1,956.00 | Install labor (certified 2-person crew, OCONUS): $2,500.00 | Unit total: $14,599.40</t>
        </is>
      </c>
    </row>
    <row r="59">
      <c r="A59" s="4" t="n">
        <v>64</v>
      </c>
      <c r="B59" s="4" t="inlineStr">
        <is>
          <t>Baths&gt;OSS</t>
        </is>
      </c>
      <c r="C59" s="5" t="inlineStr">
        <is>
          <t>OSS Vault entrance: Structural reinforcement at CIP wall opening for vault door emplacement (steel header, threshold plate, anchor bolts into CIP wall)</t>
        </is>
      </c>
      <c r="D59" s="13" t="n">
        <v>1</v>
      </c>
      <c r="E59" s="4" t="inlineStr">
        <is>
          <t>LS</t>
        </is>
      </c>
      <c r="F59" s="14" t="n">
        <v>12000</v>
      </c>
      <c r="G59" s="15">
        <f>D59*F59</f>
        <v/>
      </c>
      <c r="H59" s="10" t="inlineStr">
        <is>
          <t>C10</t>
        </is>
      </c>
      <c r="I59" s="5" t="inlineStr">
        <is>
          <t>Supplemental to Item 35 (CIP wall cut $5,000). Vault door ~900 lbs requires steel lintel, sill plate, and frame anchoring into existing CIP wall.</t>
        </is>
      </c>
    </row>
    <row r="60" ht="18" customHeight="1">
      <c r="A60" s="12" t="inlineStr">
        <is>
          <t>7.  BUILDING GENERAL - Whole-Building Systems &amp; Code Compliance</t>
        </is>
      </c>
    </row>
    <row r="61">
      <c r="A61" s="4" t="n">
        <v>47</v>
      </c>
      <c r="B61" s="4" t="inlineStr">
        <is>
          <t>Bldg General</t>
        </is>
      </c>
      <c r="C61" s="5" t="inlineStr">
        <is>
          <t>Adjust mechanical components first floor (HVAC diffusers, sprinklers, fire alarms) for ceiling removal</t>
        </is>
      </c>
      <c r="D61" s="13" t="n">
        <v>1</v>
      </c>
      <c r="E61" s="4" t="inlineStr">
        <is>
          <t>LS</t>
        </is>
      </c>
      <c r="F61" s="14" t="n">
        <v>35000</v>
      </c>
      <c r="G61" s="15">
        <f>D61*F61</f>
        <v/>
      </c>
      <c r="H61" s="10" t="inlineStr">
        <is>
          <t>D30</t>
        </is>
      </c>
      <c r="I61" s="5" t="inlineStr">
        <is>
          <t>First floor mechanical adjustment: sprinkler heads, diffusers, FA devices</t>
        </is>
      </c>
    </row>
    <row r="62">
      <c r="A62" s="4" t="n">
        <v>48</v>
      </c>
      <c r="B62" s="4" t="inlineStr">
        <is>
          <t>Bldg General</t>
        </is>
      </c>
      <c r="C62" s="5" t="inlineStr">
        <is>
          <t>Replace air-cooled chillers (2 EA) and chilled water circulating pumps (2 EA) - END OF SERVICE LIFE</t>
        </is>
      </c>
      <c r="D62" s="13" t="n">
        <v>1</v>
      </c>
      <c r="E62" s="4" t="inlineStr">
        <is>
          <t>LS</t>
        </is>
      </c>
      <c r="F62" s="14" t="n">
        <v>500000</v>
      </c>
      <c r="G62" s="15">
        <f>D62*F62</f>
        <v/>
      </c>
      <c r="H62" s="10" t="inlineStr">
        <is>
          <t>D30</t>
        </is>
      </c>
      <c r="I62" s="5" t="inlineStr">
        <is>
          <t>CRITICAL: Chillers 12+ yrs past service life. 2x 100-150 ton chillers + 2x CW pumps + controls. VERIFY tonnage with FEAD mech engineer.</t>
        </is>
      </c>
    </row>
    <row r="63">
      <c r="A63" s="4" t="n">
        <v>49</v>
      </c>
      <c r="B63" s="4" t="inlineStr">
        <is>
          <t>Bldg General</t>
        </is>
      </c>
      <c r="C63" s="5" t="inlineStr">
        <is>
          <t>Test, Adjust, Balance (TAB) all duct HVAC systems throughout facility (all 4 floors)</t>
        </is>
      </c>
      <c r="D63" s="13" t="n">
        <v>1</v>
      </c>
      <c r="E63" s="4" t="inlineStr">
        <is>
          <t>LS</t>
        </is>
      </c>
      <c r="F63" s="14" t="n">
        <v>60000</v>
      </c>
      <c r="G63" s="15">
        <f>D63*F63</f>
        <v/>
      </c>
      <c r="H63" s="10" t="inlineStr">
        <is>
          <t>D30</t>
        </is>
      </c>
      <c r="I63" s="5" t="inlineStr">
        <is>
          <t>Full building TAB per AABC/NEBB standards. VERIFY if scope is first floor only or whole building.</t>
        </is>
      </c>
    </row>
    <row r="64">
      <c r="A64" s="4" t="n">
        <v>50</v>
      </c>
      <c r="B64" s="4" t="inlineStr">
        <is>
          <t>Bldg General</t>
        </is>
      </c>
      <c r="C64" s="5" t="inlineStr">
        <is>
          <t>Replace 4 fire hose cabinets in new armory spaces (recessed, stainless, w/ hose/extinguisher)</t>
        </is>
      </c>
      <c r="D64" s="13" t="n">
        <v>4</v>
      </c>
      <c r="E64" s="4" t="inlineStr">
        <is>
          <t>EA</t>
        </is>
      </c>
      <c r="F64" s="14" t="n">
        <v>2500</v>
      </c>
      <c r="G64" s="15">
        <f>D64*F64</f>
        <v/>
      </c>
      <c r="H64" s="10" t="inlineStr">
        <is>
          <t>D40</t>
        </is>
      </c>
      <c r="I64" s="5" t="inlineStr">
        <is>
          <t>Recessed FHC per NFPA 10, stainless steel finish</t>
        </is>
      </c>
    </row>
    <row r="65">
      <c r="A65" s="4" t="n">
        <v>51</v>
      </c>
      <c r="B65" s="4" t="inlineStr">
        <is>
          <t>Bldg General</t>
        </is>
      </c>
      <c r="C65" s="5" t="inlineStr">
        <is>
          <t>Add supplemental water fountains in new OSS/Admin areas (4 EA)</t>
        </is>
      </c>
      <c r="D65" s="13" t="n">
        <v>4</v>
      </c>
      <c r="E65" s="4" t="inlineStr">
        <is>
          <t>EA</t>
        </is>
      </c>
      <c r="F65" s="14" t="n">
        <v>5000</v>
      </c>
      <c r="G65" s="15">
        <f>D65*F65</f>
        <v/>
      </c>
      <c r="H65" s="10" t="inlineStr">
        <is>
          <t>D20</t>
        </is>
      </c>
      <c r="I65" s="5" t="inlineStr">
        <is>
          <t>Wall-mounted water fountains, plumbing connection, ADA compliance</t>
        </is>
      </c>
    </row>
    <row r="66" ht="18" customHeight="1">
      <c r="A66" s="12" t="inlineStr">
        <is>
          <t>8.  BUILDING TELECOM - Telecom Room, OSP &amp; ISP Cabling per UFC 3-580-01</t>
        </is>
      </c>
    </row>
    <row r="67">
      <c r="A67" s="4" t="n">
        <v>52</v>
      </c>
      <c r="B67" s="4" t="inlineStr">
        <is>
          <t>Telecom</t>
        </is>
      </c>
      <c r="C67" s="5" t="inlineStr">
        <is>
          <t>Demo existing TR - remove all existing racks, cabling, equipment, flooring, paint</t>
        </is>
      </c>
      <c r="D67" s="13" t="n">
        <v>1</v>
      </c>
      <c r="E67" s="4" t="inlineStr">
        <is>
          <t>LS</t>
        </is>
      </c>
      <c r="F67" s="14" t="n">
        <v>12000</v>
      </c>
      <c r="G67" s="15">
        <f>D67*F67</f>
        <v/>
      </c>
      <c r="H67" s="10" t="inlineStr">
        <is>
          <t>F20</t>
        </is>
      </c>
      <c r="I67" s="5" t="inlineStr">
        <is>
          <t>Full TR strip-out for renovation</t>
        </is>
      </c>
    </row>
    <row r="68">
      <c r="A68" s="4" t="n">
        <v>53</v>
      </c>
      <c r="B68" s="4" t="inlineStr">
        <is>
          <t>Telecom</t>
        </is>
      </c>
      <c r="C68" s="5" t="inlineStr">
        <is>
          <t>Construct new TR: raised floor, racks, UPS, patch panels, grounding, EPO, fire suppression, HVAC</t>
        </is>
      </c>
      <c r="D68" s="13" t="n">
        <v>1</v>
      </c>
      <c r="E68" s="4" t="inlineStr">
        <is>
          <t>LS</t>
        </is>
      </c>
      <c r="F68" s="14" t="n">
        <v>85000</v>
      </c>
      <c r="G68" s="15">
        <f>D68*F68</f>
        <v/>
      </c>
      <c r="H68" s="10" t="inlineStr">
        <is>
          <t>D50</t>
        </is>
      </c>
      <c r="I68" s="5" t="inlineStr">
        <is>
          <t>Full TR build-out per UFC 3-580-01 and MCIPAC G6 policy</t>
        </is>
      </c>
    </row>
    <row r="69">
      <c r="A69" s="4" t="n">
        <v>54</v>
      </c>
      <c r="B69" s="4" t="inlineStr">
        <is>
          <t>Telecom</t>
        </is>
      </c>
      <c r="C69" s="5" t="inlineStr">
        <is>
          <t>Install OSP fiber optic cable from nearest demarcation point to building TR</t>
        </is>
      </c>
      <c r="D69" s="13" t="n">
        <v>1</v>
      </c>
      <c r="E69" s="4" t="inlineStr">
        <is>
          <t>LS</t>
        </is>
      </c>
      <c r="F69" s="14" t="n">
        <v>15000</v>
      </c>
      <c r="G69" s="15">
        <f>D69*F69</f>
        <v/>
      </c>
      <c r="H69" s="10" t="inlineStr">
        <is>
          <t>D50</t>
        </is>
      </c>
      <c r="I69" s="5" t="inlineStr">
        <is>
          <t>OSP fiber, conduit, hand-holes, termination</t>
        </is>
      </c>
    </row>
    <row r="70">
      <c r="A70" s="4" t="n">
        <v>55</v>
      </c>
      <c r="B70" s="4" t="inlineStr">
        <is>
          <t>Telecom</t>
        </is>
      </c>
      <c r="C70" s="5" t="inlineStr">
        <is>
          <t>Install ISP horizontal cabling - 28 drops to new armory spaces, admin, OSS areas</t>
        </is>
      </c>
      <c r="D70" s="13" t="n">
        <v>28</v>
      </c>
      <c r="E70" s="4" t="inlineStr">
        <is>
          <t>EA</t>
        </is>
      </c>
      <c r="F70" s="14" t="n">
        <v>1200</v>
      </c>
      <c r="G70" s="15">
        <f>D70*F70</f>
        <v/>
      </c>
      <c r="H70" s="10" t="inlineStr">
        <is>
          <t>D50</t>
        </is>
      </c>
      <c r="I70" s="5" t="inlineStr">
        <is>
          <t>Cat6A or OM3 fiber per MCIPAC G6 policy, conduit, termination</t>
        </is>
      </c>
    </row>
    <row r="71">
      <c r="A71" s="4" t="n">
        <v>56</v>
      </c>
      <c r="B71" s="4" t="inlineStr">
        <is>
          <t>Telecom</t>
        </is>
      </c>
      <c r="C71" s="5" t="inlineStr">
        <is>
          <t>Remove existing ISP cabling throughout first floor</t>
        </is>
      </c>
      <c r="D71" s="13" t="n">
        <v>1</v>
      </c>
      <c r="E71" s="4" t="inlineStr">
        <is>
          <t>LS</t>
        </is>
      </c>
      <c r="F71" s="14" t="n">
        <v>4000</v>
      </c>
      <c r="G71" s="15">
        <f>D71*F71</f>
        <v/>
      </c>
      <c r="H71" s="10" t="inlineStr">
        <is>
          <t>F20</t>
        </is>
      </c>
      <c r="I71" s="5" t="inlineStr">
        <is>
          <t>Removal of legacy cabling, conduit, boxes per demo scope</t>
        </is>
      </c>
    </row>
    <row r="72" ht="18" customHeight="1">
      <c r="A72" s="12" t="inlineStr">
        <is>
          <t>9.  EXTERIOR - Covered Overhangs, Pavilion, Site Work</t>
        </is>
      </c>
    </row>
    <row r="73">
      <c r="A73" s="4" t="n">
        <v>57</v>
      </c>
      <c r="B73" s="4" t="inlineStr">
        <is>
          <t>Exterior</t>
        </is>
      </c>
      <c r="C73" s="5" t="inlineStr">
        <is>
          <t>Tree removal at new exterior concrete pad locations (6 EA)</t>
        </is>
      </c>
      <c r="D73" s="13" t="n">
        <v>6</v>
      </c>
      <c r="E73" s="4" t="inlineStr">
        <is>
          <t>EA</t>
        </is>
      </c>
      <c r="F73" s="14" t="n">
        <v>1500</v>
      </c>
      <c r="G73" s="15">
        <f>D73*F73</f>
        <v/>
      </c>
      <c r="H73" s="10" t="inlineStr">
        <is>
          <t>G10</t>
        </is>
      </c>
      <c r="I73" s="5" t="inlineStr">
        <is>
          <t>Tree removal and disposal, stump grinding</t>
        </is>
      </c>
    </row>
    <row r="74">
      <c r="A74" s="4" t="n">
        <v>58</v>
      </c>
      <c r="B74" s="4" t="inlineStr">
        <is>
          <t>Exterior</t>
        </is>
      </c>
      <c r="C74" s="5" t="inlineStr">
        <is>
          <t>Steel-frame covered overhang at issue windows - 3 locations</t>
        </is>
      </c>
      <c r="D74" s="13" t="n">
        <v>3</v>
      </c>
      <c r="E74" s="4" t="inlineStr">
        <is>
          <t>EA</t>
        </is>
      </c>
      <c r="F74" s="14" t="n">
        <v>35000</v>
      </c>
      <c r="G74" s="15">
        <f>D74*F74</f>
        <v/>
      </c>
      <c r="H74" s="10" t="inlineStr">
        <is>
          <t>G20</t>
        </is>
      </c>
      <c r="I74" s="5" t="inlineStr">
        <is>
          <t>Steel-frame canopy structure, metal roofing, concrete footings, per location</t>
        </is>
      </c>
    </row>
    <row r="75">
      <c r="A75" s="4" t="n">
        <v>59</v>
      </c>
      <c r="B75" s="4" t="inlineStr">
        <is>
          <t>Exterior</t>
        </is>
      </c>
      <c r="C75" s="5" t="inlineStr">
        <is>
          <t>New outdoor pavilion - steel frame, metal roof, concrete slab (approx 20'x40')</t>
        </is>
      </c>
      <c r="D75" s="13" t="n">
        <v>1</v>
      </c>
      <c r="E75" s="4" t="inlineStr">
        <is>
          <t>LS</t>
        </is>
      </c>
      <c r="F75" s="14" t="n">
        <v>55000</v>
      </c>
      <c r="G75" s="15">
        <f>D75*F75</f>
        <v/>
      </c>
      <c r="H75" s="10" t="inlineStr">
        <is>
          <t>G20</t>
        </is>
      </c>
      <c r="I75" s="5" t="inlineStr">
        <is>
          <t>Steel-frame pavilion: columns, roof, 800 SF concrete slab, perimeter drainage</t>
        </is>
      </c>
    </row>
    <row r="76">
      <c r="A76" s="4" t="n">
        <v>60</v>
      </c>
      <c r="B76" s="4" t="inlineStr">
        <is>
          <t>Exterior</t>
        </is>
      </c>
      <c r="C76" s="5" t="inlineStr">
        <is>
          <t>Site drainage improvements at new concrete pad locations</t>
        </is>
      </c>
      <c r="D76" s="13" t="n">
        <v>1</v>
      </c>
      <c r="E76" s="4" t="inlineStr">
        <is>
          <t>LS</t>
        </is>
      </c>
      <c r="F76" s="14" t="n">
        <v>5000</v>
      </c>
      <c r="G76" s="15">
        <f>D76*F76</f>
        <v/>
      </c>
      <c r="H76" s="10" t="inlineStr">
        <is>
          <t>G20</t>
        </is>
      </c>
      <c r="I76" s="5" t="inlineStr">
        <is>
          <t>French drains or surface grading at pad locations</t>
        </is>
      </c>
    </row>
    <row r="77" ht="18" customHeight="1">
      <c r="A77" s="12" t="inlineStr">
        <is>
          <t>10.  RESTROOMS &amp; MISCELLANEOUS</t>
        </is>
      </c>
    </row>
    <row r="78">
      <c r="A78" s="4" t="n">
        <v>61</v>
      </c>
      <c r="B78" s="4" t="inlineStr">
        <is>
          <t>Rest/Misc</t>
        </is>
      </c>
      <c r="C78" s="5" t="inlineStr">
        <is>
          <t>Public restroom: New fixtures (2 toilets, 2 sinks, accessories) for general use area</t>
        </is>
      </c>
      <c r="D78" s="13" t="n">
        <v>1</v>
      </c>
      <c r="E78" s="4" t="inlineStr">
        <is>
          <t>LS</t>
        </is>
      </c>
      <c r="F78" s="14" t="n">
        <v>15000</v>
      </c>
      <c r="G78" s="15">
        <f>D78*F78</f>
        <v/>
      </c>
      <c r="H78" s="10" t="inlineStr">
        <is>
          <t>D20</t>
        </is>
      </c>
      <c r="I78" s="5" t="inlineStr">
        <is>
          <t>Replace fixtures, handles, accessories - ADA compliance check</t>
        </is>
      </c>
    </row>
    <row r="79">
      <c r="A79" s="4" t="n">
        <v>62</v>
      </c>
      <c r="B79" s="4" t="inlineStr">
        <is>
          <t>Rest/Misc</t>
        </is>
      </c>
      <c r="C79" s="5" t="inlineStr">
        <is>
          <t>New security door/frame/lockset for exterior storage (1 EA)</t>
        </is>
      </c>
      <c r="D79" s="13" t="n">
        <v>1</v>
      </c>
      <c r="E79" s="4" t="inlineStr">
        <is>
          <t>EA</t>
        </is>
      </c>
      <c r="F79" s="14" t="n">
        <v>6000</v>
      </c>
      <c r="G79" s="15">
        <f>D79*F79</f>
        <v/>
      </c>
      <c r="H79" s="10" t="inlineStr">
        <is>
          <t>C10</t>
        </is>
      </c>
      <c r="I79" s="5" t="inlineStr">
        <is>
          <t>Heavy-duty exterior security door with lockset and door closer</t>
        </is>
      </c>
    </row>
    <row r="80" ht="18" customHeight="1">
      <c r="A80" s="12" t="inlineStr">
        <is>
          <t>11.  HAZARDOUS MATERIALS - Asbestos Mastic Abatement (Bhate Environmental Associates, 19 Nov 2001)</t>
        </is>
      </c>
    </row>
    <row r="81">
      <c r="A81" s="4" t="n">
        <v>65</v>
      </c>
      <c r="B81" s="4" t="inlineStr">
        <is>
          <t>Hazmat</t>
        </is>
      </c>
      <c r="C81" s="5" t="inlineStr">
        <is>
          <t>Asbestos mastic abatement - OSS full-gut areas (mens locker ~398 SF, womens ~300 SF, sauna ~97 SF, steam ~124 SF); cove base/kickboard removal triggers abatement of underlying H3 ACM mastic (15% Chrysotile)</t>
        </is>
      </c>
      <c r="D81" s="13" t="n">
        <v>234</v>
      </c>
      <c r="E81" s="4" t="inlineStr">
        <is>
          <t>LF</t>
        </is>
      </c>
      <c r="F81" s="14" t="n">
        <v>25</v>
      </c>
      <c r="G81" s="15">
        <f>D81*F81</f>
        <v/>
      </c>
      <c r="H81" s="10" t="inlineStr">
        <is>
          <t>F20</t>
        </is>
      </c>
      <c r="I81" s="5" t="inlineStr">
        <is>
          <t>Bhate Survey 19 Nov 2001, H3: 15% Chrysotile mastic under kickboard, 8,392 LF building-wide. Scope-limited to OSS gut rooms only. Perimeter est from room SF. FEAD ENV/IH to field-verify LF and unit cost before construction.</t>
        </is>
      </c>
    </row>
    <row r="82">
      <c r="A82" s="4" t="n">
        <v>66</v>
      </c>
      <c r="B82" s="4" t="inlineStr">
        <is>
          <t>Hazmat</t>
        </is>
      </c>
      <c r="C82" s="5" t="inlineStr">
        <is>
          <t>Asbestos mastic abatement - armory bathroom VCT/CT renovation (11 bathrooms, ~1,650 SF total); floor tile and wall base removal at wall junctions triggers abatement of underlying H3 ACM mastic (15% Chrysotile)</t>
        </is>
      </c>
      <c r="D82" s="13" t="n">
        <v>385</v>
      </c>
      <c r="E82" s="4" t="inlineStr">
        <is>
          <t>LF</t>
        </is>
      </c>
      <c r="F82" s="14" t="n">
        <v>25</v>
      </c>
      <c r="G82" s="15">
        <f>D82*F82</f>
        <v/>
      </c>
      <c r="H82" s="10" t="inlineStr">
        <is>
          <t>F20</t>
        </is>
      </c>
      <c r="I82" s="5" t="inlineStr">
        <is>
          <t>Bhate Survey 19 Nov 2001, H3. Armory scope Item 11: CT floor/wall removal in 11 baths. VCT/CT installation requires cove base removal at perimeter. Perimeter est: 11 baths x ~35 LF avg = 385 LF. FEAD ENV/IH to field-verify.</t>
        </is>
      </c>
    </row>
    <row r="83">
      <c r="A83" s="4" t="n">
        <v>67</v>
      </c>
      <c r="B83" s="4" t="inlineStr">
        <is>
          <t>Hazmat</t>
        </is>
      </c>
      <c r="C83" s="5" t="inlineStr">
        <is>
          <t>Asbestos mastic abatement - gym conversion (VCT 1,749 SF, est. 168 LF perimeter) and laundry/admin conversion (VCT 300 SF, est. 70 LF perimeter); new VCT installation at wall base triggers abatement of underlying H3 ACM mastic</t>
        </is>
      </c>
      <c r="D83" s="13" t="n">
        <v>238</v>
      </c>
      <c r="E83" s="4" t="inlineStr">
        <is>
          <t>LF</t>
        </is>
      </c>
      <c r="F83" s="14" t="n">
        <v>25</v>
      </c>
      <c r="G83" s="15">
        <f>D83*F83</f>
        <v/>
      </c>
      <c r="H83" s="10" t="inlineStr">
        <is>
          <t>F20</t>
        </is>
      </c>
      <c r="I83" s="5" t="inlineStr">
        <is>
          <t>Bhate Survey 19 Nov 2001, H3. Scope Items 3B (gym VCT) and 24 (laundry VCT) require base removal at wall perimeter. Combined perimeter est 238 LF. FEAD ENV/IH to field-verify.</t>
        </is>
      </c>
    </row>
    <row r="85">
      <c r="A85" s="7" t="inlineStr">
        <is>
          <t>TOTAL BASE DIRECT COST (FY24 CONUS)</t>
        </is>
      </c>
      <c r="G85" s="6">
        <f>SUM(G5:G83)</f>
        <v/>
      </c>
    </row>
  </sheetData>
  <mergeCells count="14">
    <mergeCell ref="A26:I26"/>
    <mergeCell ref="A85:F85"/>
    <mergeCell ref="A2:I2"/>
    <mergeCell ref="A60:I60"/>
    <mergeCell ref="A36:I36"/>
    <mergeCell ref="A66:I66"/>
    <mergeCell ref="A1:I1"/>
    <mergeCell ref="A80:I80"/>
    <mergeCell ref="A31:I31"/>
    <mergeCell ref="A77:I77"/>
    <mergeCell ref="A4:I4"/>
    <mergeCell ref="A20:I20"/>
    <mergeCell ref="A24:I24"/>
    <mergeCell ref="A72:I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 ht="24" customHeight="1">
      <c r="A1" s="1" t="inlineStr">
        <is>
          <t>SCH-1024  |  COST ESTIMATE PARAMETERS  |  LEVEL 3 ROM  |  FY27  |  PAX ID 387356  |  Fi Web BU26PPE70M</t>
        </is>
      </c>
    </row>
    <row r="3">
      <c r="A3" s="2" t="inlineStr">
        <is>
          <t>PROJECT IDENTIFICATION</t>
        </is>
      </c>
    </row>
    <row r="4">
      <c r="A4" s="8" t="inlineStr">
        <is>
          <t>Estimate Title</t>
        </is>
      </c>
      <c r="B4" s="5" t="inlineStr">
        <is>
          <t>SCH-1024  |  Repair MULTI PURPOSE BEQ/BOQ/CO HQS</t>
        </is>
      </c>
      <c r="C4" s="4" t="inlineStr">
        <is>
          <t>Text</t>
        </is>
      </c>
      <c r="D4" s="5" t="inlineStr">
        <is>
          <t>DD Form 1391  |  PAX ID 387356  |  Fi Web BU26PPE70M</t>
        </is>
      </c>
    </row>
    <row r="5">
      <c r="A5" s="8" t="inlineStr">
        <is>
          <t>Building / Installation</t>
        </is>
      </c>
      <c r="B5" s="5" t="inlineStr">
        <is>
          <t>SCH-1024  |  Camp Schwab, Okinawa, Japan</t>
        </is>
      </c>
      <c r="C5" s="4" t="inlineStr">
        <is>
          <t>Text</t>
        </is>
      </c>
      <c r="D5" s="5" t="inlineStr">
        <is>
          <t>MCIPAC G-F PPE</t>
        </is>
      </c>
    </row>
    <row r="6">
      <c r="A6" s="8" t="inlineStr">
        <is>
          <t>Supported Units</t>
        </is>
      </c>
      <c r="B6" s="5" t="inlineStr">
        <is>
          <t>3rd Marine Logistics Group / III MEF</t>
        </is>
      </c>
      <c r="C6" s="4" t="inlineStr">
        <is>
          <t>Text</t>
        </is>
      </c>
      <c r="D6" s="5" t="inlineStr">
        <is>
          <t>Primary supported units</t>
        </is>
      </c>
    </row>
    <row r="7">
      <c r="A7" s="8" t="inlineStr">
        <is>
          <t>PAX ID</t>
        </is>
      </c>
      <c r="B7" s="5" t="n">
        <v>387356</v>
      </c>
      <c r="C7" s="4" t="inlineStr">
        <is>
          <t>ID</t>
        </is>
      </c>
      <c r="D7" s="5" t="inlineStr">
        <is>
          <t>PAX System</t>
        </is>
      </c>
    </row>
    <row r="8">
      <c r="A8" s="8" t="inlineStr">
        <is>
          <t>Fi Web Project Number</t>
        </is>
      </c>
      <c r="B8" s="5" t="inlineStr">
        <is>
          <t>BU26PPE70M</t>
        </is>
      </c>
      <c r="C8" s="4" t="inlineStr">
        <is>
          <t>ID</t>
        </is>
      </c>
      <c r="D8" s="5" t="inlineStr">
        <is>
          <t>Fi Web confirmed</t>
        </is>
      </c>
    </row>
    <row r="9">
      <c r="A9" s="8" t="inlineStr">
        <is>
          <t>iNFADS RPUID</t>
        </is>
      </c>
      <c r="B9" s="5" t="n">
        <v>148675</v>
      </c>
      <c r="C9" s="4" t="inlineStr">
        <is>
          <t>ID</t>
        </is>
      </c>
      <c r="D9" s="5" t="inlineStr">
        <is>
          <t>iNFADS Real Property record</t>
        </is>
      </c>
    </row>
    <row r="10">
      <c r="A10" s="8" t="inlineStr">
        <is>
          <t>Primary Project CCN</t>
        </is>
      </c>
      <c r="B10" s="5" t="n">
        <v>14345</v>
      </c>
      <c r="C10" s="4" t="inlineStr">
        <is>
          <t>CCN</t>
        </is>
      </c>
      <c r="D10" s="5" t="inlineStr">
        <is>
          <t>iNFADS CCN 14345</t>
        </is>
      </c>
    </row>
    <row r="11">
      <c r="A11" s="8" t="inlineStr">
        <is>
          <t>Total Building GSF</t>
        </is>
      </c>
      <c r="B11" s="5" t="n">
        <v>84861</v>
      </c>
      <c r="C11" s="4" t="inlineStr">
        <is>
          <t>SF</t>
        </is>
      </c>
      <c r="D11" s="5" t="inlineStr">
        <is>
          <t>iNFADS confirmed</t>
        </is>
      </c>
    </row>
    <row r="12">
      <c r="A12" s="8" t="inlineStr">
        <is>
          <t>Plant Replacement Value (iNFADS)</t>
        </is>
      </c>
      <c r="B12" s="5" t="n">
        <v>96523347</v>
      </c>
      <c r="C12" s="4" t="inlineStr">
        <is>
          <t>$</t>
        </is>
      </c>
      <c r="D12" s="5" t="inlineStr">
        <is>
          <t>iNFADS confirmed; UFC 3-701-01 w/Ch 7</t>
        </is>
      </c>
    </row>
    <row r="13">
      <c r="A13" s="8" t="inlineStr">
        <is>
          <t>Estimate Date</t>
        </is>
      </c>
      <c r="B13" s="5" t="inlineStr">
        <is>
          <t>29 Apr 2026</t>
        </is>
      </c>
      <c r="C13" s="4" t="inlineStr">
        <is>
          <t>Date</t>
        </is>
      </c>
      <c r="D13" s="5" t="inlineStr">
        <is>
          <t>Date of estimate production</t>
        </is>
      </c>
    </row>
    <row r="14">
      <c r="A14" s="8" t="inlineStr">
        <is>
          <t>Estimate Level</t>
        </is>
      </c>
      <c r="B14" s="5" t="inlineStr">
        <is>
          <t>Level 3 ROM</t>
        </is>
      </c>
      <c r="C14" s="4" t="inlineStr">
        <is>
          <t>Text</t>
        </is>
      </c>
      <c r="D14" s="5" t="inlineStr">
        <is>
          <t>UFS 3-740-05 (2 Feb 2026); for information only</t>
        </is>
      </c>
    </row>
    <row r="15">
      <c r="A15" s="8" t="inlineStr">
        <is>
          <t>Delivery Method</t>
        </is>
      </c>
      <c r="B15" s="5" t="inlineStr">
        <is>
          <t>Design-Build (DB)</t>
        </is>
      </c>
      <c r="C15" s="4" t="inlineStr">
        <is>
          <t>Method</t>
        </is>
      </c>
      <c r="D15" s="5" t="inlineStr">
        <is>
          <t>UFC 3-730-01 (2024)</t>
        </is>
      </c>
    </row>
    <row r="17">
      <c r="A17" s="2" t="inlineStr">
        <is>
          <t>COST INPUTS  (yellow = user input; locked unless directed)</t>
        </is>
      </c>
    </row>
    <row r="18">
      <c r="A18" s="8" t="inlineStr">
        <is>
          <t>Base Year</t>
        </is>
      </c>
      <c r="B18" s="14" t="n">
        <v>2024</v>
      </c>
      <c r="C18" s="4" t="inlineStr">
        <is>
          <t>FY</t>
        </is>
      </c>
      <c r="D18" s="5" t="inlineStr">
        <is>
          <t>FY24 CONUS base costs</t>
        </is>
      </c>
    </row>
    <row r="19">
      <c r="A19" s="8" t="inlineStr">
        <is>
          <t>Target Fiscal Year</t>
        </is>
      </c>
      <c r="B19" s="14" t="n">
        <v>2027</v>
      </c>
      <c r="C19" s="4" t="inlineStr">
        <is>
          <t>FY</t>
        </is>
      </c>
      <c r="D19" s="5" t="inlineStr">
        <is>
          <t>FY27 construction start</t>
        </is>
      </c>
    </row>
    <row r="20">
      <c r="A20" s="8" t="inlineStr">
        <is>
          <t>Area Cost Factor (ACF)</t>
        </is>
      </c>
      <c r="B20" s="16" t="n">
        <v>1.85</v>
      </c>
      <c r="C20" s="4" t="inlineStr">
        <is>
          <t>Multiplier</t>
        </is>
      </c>
      <c r="D20" s="5" t="inlineStr">
        <is>
          <t>UFC 3-701-01 w/Ch 7 (25 Jul 2025), Table 4-1 OCONUS Okinawa M67400-0004</t>
        </is>
      </c>
    </row>
    <row r="21">
      <c r="A21" s="8" t="inlineStr">
        <is>
          <t>Escalation Rate (annual)</t>
        </is>
      </c>
      <c r="B21" s="16" t="n">
        <v>0.021</v>
      </c>
      <c r="C21" s="4" t="inlineStr">
        <is>
          <t>%</t>
        </is>
      </c>
      <c r="D21" s="5" t="inlineStr">
        <is>
          <t>OSD FY25 published rate, client confirmed</t>
        </is>
      </c>
    </row>
    <row r="22">
      <c r="A22" s="8" t="inlineStr">
        <is>
          <t>Escalation Years</t>
        </is>
      </c>
      <c r="B22" s="17" t="n">
        <v>3</v>
      </c>
      <c r="C22" s="4" t="inlineStr">
        <is>
          <t>Years</t>
        </is>
      </c>
      <c r="D22" s="5" t="inlineStr">
        <is>
          <t>FY24 base to FY27 target</t>
        </is>
      </c>
    </row>
    <row r="23">
      <c r="A23" s="8" t="inlineStr">
        <is>
          <t>General Requirements</t>
        </is>
      </c>
      <c r="B23" s="16" t="n">
        <v>0.1</v>
      </c>
      <c r="C23" s="4" t="inlineStr">
        <is>
          <t>%</t>
        </is>
      </c>
      <c r="D23" s="5" t="inlineStr">
        <is>
          <t>FSRM program-directed; UFS 3-740-05</t>
        </is>
      </c>
    </row>
    <row r="25">
      <c r="A25" s="2" t="inlineStr">
        <is>
          <t>PAX ASSOCIATED COSTS  (informational; applied by PAX at submission)</t>
        </is>
      </c>
    </row>
    <row r="26">
      <c r="A26" s="8" t="inlineStr">
        <is>
          <t>Contingency</t>
        </is>
      </c>
      <c r="B26" s="18" t="n">
        <v>0.1</v>
      </c>
      <c r="C26" s="4" t="inlineStr">
        <is>
          <t>%</t>
        </is>
      </c>
      <c r="D26" s="5" t="inlineStr">
        <is>
          <t>FSRM program-directed; PAX-applied to items subtotal</t>
        </is>
      </c>
    </row>
    <row r="27">
      <c r="A27" s="8" t="inlineStr">
        <is>
          <t>Supervision Inspection and Overhead (SIOH)</t>
        </is>
      </c>
      <c r="B27" s="18" t="n">
        <v>0.08</v>
      </c>
      <c r="C27" s="4" t="inlineStr">
        <is>
          <t>%</t>
        </is>
      </c>
      <c r="D27" s="5" t="inlineStr">
        <is>
          <t>OCONUS FSRM customer-directed (8.0%); PAX-applied</t>
        </is>
      </c>
    </row>
    <row r="28">
      <c r="A28" s="8" t="inlineStr">
        <is>
          <t>Design-Build Design (DB)</t>
        </is>
      </c>
      <c r="B28" s="18" t="n">
        <v>0.04</v>
      </c>
      <c r="C28" s="4" t="inlineStr">
        <is>
          <t>%</t>
        </is>
      </c>
      <c r="D28" s="5" t="inlineStr">
        <is>
          <t>UFC 3-730-01 (2024); PAX-applied</t>
        </is>
      </c>
    </row>
    <row r="29">
      <c r="A29" s="8" t="inlineStr">
        <is>
          <t>Planning and Design (P&amp;D)</t>
        </is>
      </c>
      <c r="B29" s="18" t="n">
        <v>0.06</v>
      </c>
      <c r="C29" s="4" t="inlineStr">
        <is>
          <t>%</t>
        </is>
      </c>
      <c r="D29" s="5" t="inlineStr">
        <is>
          <t>NON ADD; informational only; does not roll into TPC</t>
        </is>
      </c>
    </row>
    <row r="31">
      <c r="A31" s="2" t="inlineStr">
        <is>
          <t>DERIVED VALUES  (live formulas; do not edit)</t>
        </is>
      </c>
    </row>
    <row r="32">
      <c r="A32" s="8" t="inlineStr">
        <is>
          <t>Compound Escalation Factor</t>
        </is>
      </c>
      <c r="B32" s="19">
        <f>(1+B21)^B22</f>
        <v/>
      </c>
      <c r="C32" s="4" t="inlineStr">
        <is>
          <t>Factor</t>
        </is>
      </c>
      <c r="D32" s="5" t="inlineStr">
        <is>
          <t>(1 + escalation)^years</t>
        </is>
      </c>
    </row>
    <row r="33">
      <c r="A33" s="8" t="inlineStr">
        <is>
          <t>Base Direct Cost (FY24 CONUS)</t>
        </is>
      </c>
      <c r="B33" s="6">
        <f>SCOPE_DETAIL!G85</f>
        <v/>
      </c>
      <c r="C33" s="4" t="inlineStr">
        <is>
          <t>$</t>
        </is>
      </c>
      <c r="D33" s="5" t="inlineStr">
        <is>
          <t>Sum of all scope items on SCOPE_DETAIL</t>
        </is>
      </c>
    </row>
    <row r="34">
      <c r="A34" s="8" t="inlineStr">
        <is>
          <t>Pre-Calibration Subtotal</t>
        </is>
      </c>
      <c r="B34" s="6">
        <f>B33*B20*B32*(1+B23)</f>
        <v/>
      </c>
      <c r="C34" s="4" t="inlineStr">
        <is>
          <t>$</t>
        </is>
      </c>
      <c r="D34" s="5" t="inlineStr">
        <is>
          <t>Base Direct x ACF x Escalation x (1 + General Requirements)</t>
        </is>
      </c>
    </row>
    <row r="35">
      <c r="A35" s="8" t="inlineStr">
        <is>
          <t>Locked Total Project Cost</t>
        </is>
      </c>
      <c r="B35" s="6" t="n">
        <v>10413140</v>
      </c>
      <c r="C35" s="4" t="inlineStr">
        <is>
          <t>$</t>
        </is>
      </c>
      <c r="D35" s="5" t="inlineStr">
        <is>
          <t>PAX-locked TPC; reconciliation target</t>
        </is>
      </c>
    </row>
    <row r="36">
      <c r="A36" s="8" t="inlineStr">
        <is>
          <t>Items Subtotal Target (PAX paste)</t>
        </is>
      </c>
      <c r="B36" s="6">
        <f>B35/1.23552</f>
        <v/>
      </c>
      <c r="C36" s="4" t="inlineStr">
        <is>
          <t>$</t>
        </is>
      </c>
      <c r="D36" s="5" t="inlineStr">
        <is>
          <t>Locked TPC / 1.23552  (1.10 x 1.08 x 1.04)</t>
        </is>
      </c>
    </row>
    <row r="37">
      <c r="A37" s="8" t="inlineStr">
        <is>
          <t>Cost Adjustment Factor</t>
        </is>
      </c>
      <c r="B37" s="19">
        <f>B36/B34</f>
        <v/>
      </c>
      <c r="C37" s="4" t="inlineStr">
        <is>
          <t>Factor</t>
        </is>
      </c>
      <c r="D37" s="5" t="inlineStr">
        <is>
          <t>Items Subtotal Target / Pre-Calibration Subtotal; calibrates ROM chain to locked TPC</t>
        </is>
      </c>
    </row>
    <row r="39">
      <c r="A39" s="2" t="inlineStr">
        <is>
          <t>PLANNING RATES</t>
        </is>
      </c>
    </row>
    <row r="40">
      <c r="A40" s="8" t="inlineStr">
        <is>
          <t>JPY/USD Planning Rate</t>
        </is>
      </c>
      <c r="B40" s="20" t="n">
        <v>150.4415</v>
      </c>
      <c r="C40" s="4" t="inlineStr">
        <is>
          <t>Rate</t>
        </is>
      </c>
      <c r="D40" s="5" t="inlineStr">
        <is>
          <t>FY26 budget planning rate; H.10 live rate at PAX submission</t>
        </is>
      </c>
    </row>
    <row r="42">
      <c r="A42" s="2" t="inlineStr">
        <is>
          <t>ACTIVE REFERENCES</t>
        </is>
      </c>
    </row>
    <row r="43">
      <c r="A43" s="5" t="inlineStr">
        <is>
          <t>MCO 11000.5 (03 Jun 2016)  |  Real Property FSRM Program</t>
        </is>
      </c>
    </row>
    <row r="44">
      <c r="A44" s="5" t="inlineStr">
        <is>
          <t>MCO 11000.12 (08 Sep 2014)  |  Real Property Facilities Manual</t>
        </is>
      </c>
    </row>
    <row r="45">
      <c r="A45" s="5" t="inlineStr">
        <is>
          <t>Consistency Review Board Guidelines (May 2024, REV #15)  |  DD Form 1391 line-item sequencing</t>
        </is>
      </c>
    </row>
    <row r="46">
      <c r="A46" s="5" t="inlineStr">
        <is>
          <t>UFC 3-701-01 with Change 7 (25 Jul 2025)  |  PUC, ACF, PRV authority</t>
        </is>
      </c>
    </row>
    <row r="47">
      <c r="A47" s="5" t="inlineStr">
        <is>
          <t>UFC 3-730-01 (2024)  |  Design-Build contracting</t>
        </is>
      </c>
    </row>
    <row r="48">
      <c r="A48" s="5" t="inlineStr">
        <is>
          <t>UFS 3-740-05 (02 Feb 2026)  |  Cost estimating ROM levels</t>
        </is>
      </c>
    </row>
    <row r="49">
      <c r="A49" s="5" t="inlineStr">
        <is>
          <t>JED Cost Estimating Guidance (Combined, Nov 2025)</t>
        </is>
      </c>
    </row>
    <row r="50">
      <c r="A50" s="5" t="inlineStr">
        <is>
          <t>Japan District Design Guide v9 (April 2025)</t>
        </is>
      </c>
    </row>
    <row r="51">
      <c r="A51" s="5" t="inlineStr">
        <is>
          <t>10 U.S.C. Section 2802  |  DoD 4270.5-M  |  Classification of Work</t>
        </is>
      </c>
    </row>
  </sheetData>
  <mergeCells count="16">
    <mergeCell ref="A1:D1"/>
    <mergeCell ref="A17:D17"/>
    <mergeCell ref="A45:D45"/>
    <mergeCell ref="A31:D31"/>
    <mergeCell ref="A50:D50"/>
    <mergeCell ref="A48:D48"/>
    <mergeCell ref="A3:D3"/>
    <mergeCell ref="A39:D39"/>
    <mergeCell ref="A25:D25"/>
    <mergeCell ref="A43:D43"/>
    <mergeCell ref="A51:D51"/>
    <mergeCell ref="A49:D49"/>
    <mergeCell ref="A47:D47"/>
    <mergeCell ref="A42:D42"/>
    <mergeCell ref="A46:D46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70" customWidth="1" min="3" max="3"/>
  </cols>
  <sheetData>
    <row r="1" ht="24" customHeight="1">
      <c r="A1" s="1" t="inlineStr">
        <is>
          <t>SCH-1024  |  DD FORM 1391 BLOCK 9 - PAX PASTE  |  LEVEL 3 ROM  |  FY27  |  PAX ID 387356  |  Fi Web BU26PPE70M</t>
        </is>
      </c>
    </row>
    <row r="2" ht="30" customHeight="1">
      <c r="A2" s="21" t="inlineStr">
        <is>
          <t>All amounts in $000s. Paste discipline rollups into PAX Block 9 items table; PAX-loaded Cont 10% / SIOH 8% / DB 4% render the printed Total Project Cost. P&amp;D 6% NON ADD shown for visibility.</t>
        </is>
      </c>
    </row>
    <row r="3" ht="24" customHeight="1">
      <c r="A3" s="3" t="inlineStr">
        <is>
          <t>Cost Element</t>
        </is>
      </c>
      <c r="B3" s="3" t="inlineStr">
        <is>
          <t>Amount ($000)</t>
        </is>
      </c>
      <c r="C3" s="3" t="inlineStr">
        <is>
          <t>Notes / UNIFORMAT</t>
        </is>
      </c>
    </row>
    <row r="4">
      <c r="A4" s="8" t="inlineStr">
        <is>
          <t>B20  |  Exterior Enclosure</t>
        </is>
      </c>
      <c r="B4" s="6">
        <f>ROUND( SUMIF(SCOPE_DETAIL!H:H,"B20",SCOPE_DETAIL!G:G) * (PARAMETERS!B34/PARAMETERS!B33) * PARAMETERS!B37 / 1000, 0)</f>
        <v/>
      </c>
      <c r="C4" s="5" t="inlineStr">
        <is>
          <t>UNIFORMAT II Lv2 B20 rollup; absorbs base-cost adjustments via Cost Adjustment Factor</t>
        </is>
      </c>
    </row>
    <row r="5">
      <c r="A5" s="8" t="inlineStr">
        <is>
          <t>C10  |  Interior Construction</t>
        </is>
      </c>
      <c r="B5" s="6">
        <f>ROUND( SUMIF(SCOPE_DETAIL!H:H,"C10",SCOPE_DETAIL!G:G) * (PARAMETERS!B34/PARAMETERS!B33) * PARAMETERS!B37 / 1000, 0)</f>
        <v/>
      </c>
      <c r="C5" s="5" t="inlineStr">
        <is>
          <t>UNIFORMAT II Lv2 C10 rollup; absorbs base-cost adjustments via Cost Adjustment Factor</t>
        </is>
      </c>
    </row>
    <row r="6">
      <c r="A6" s="8" t="inlineStr">
        <is>
          <t>C30  |  Interior Finishes</t>
        </is>
      </c>
      <c r="B6" s="6">
        <f>ROUND( SUMIF(SCOPE_DETAIL!H:H,"C30",SCOPE_DETAIL!G:G) * (PARAMETERS!B34/PARAMETERS!B33) * PARAMETERS!B37 / 1000, 0)</f>
        <v/>
      </c>
      <c r="C6" s="5" t="inlineStr">
        <is>
          <t>UNIFORMAT II Lv2 C30 rollup; absorbs base-cost adjustments via Cost Adjustment Factor</t>
        </is>
      </c>
    </row>
    <row r="7">
      <c r="A7" s="8" t="inlineStr">
        <is>
          <t>D20  |  Plumbing</t>
        </is>
      </c>
      <c r="B7" s="6">
        <f>ROUND( SUMIF(SCOPE_DETAIL!H:H,"D20",SCOPE_DETAIL!G:G) * (PARAMETERS!B34/PARAMETERS!B33) * PARAMETERS!B37 / 1000, 0)</f>
        <v/>
      </c>
      <c r="C7" s="5" t="inlineStr">
        <is>
          <t>UNIFORMAT II Lv2 D20 rollup; absorbs base-cost adjustments via Cost Adjustment Factor</t>
        </is>
      </c>
    </row>
    <row r="8">
      <c r="A8" s="8" t="inlineStr">
        <is>
          <t>D30  |  HVAC / Mechanical</t>
        </is>
      </c>
      <c r="B8" s="6">
        <f>ROUND( SUMIF(SCOPE_DETAIL!H:H,"D30",SCOPE_DETAIL!G:G) * (PARAMETERS!B34/PARAMETERS!B33) * PARAMETERS!B37 / 1000, 0)</f>
        <v/>
      </c>
      <c r="C8" s="5" t="inlineStr">
        <is>
          <t>UNIFORMAT II Lv2 D30 rollup; absorbs base-cost adjustments via Cost Adjustment Factor</t>
        </is>
      </c>
    </row>
    <row r="9">
      <c r="A9" s="8" t="inlineStr">
        <is>
          <t>D40  |  Fire Protection</t>
        </is>
      </c>
      <c r="B9" s="6">
        <f>ROUND( SUMIF(SCOPE_DETAIL!H:H,"D40",SCOPE_DETAIL!G:G) * (PARAMETERS!B34/PARAMETERS!B33) * PARAMETERS!B37 / 1000, 0)</f>
        <v/>
      </c>
      <c r="C9" s="5" t="inlineStr">
        <is>
          <t>UNIFORMAT II Lv2 D40 rollup; absorbs base-cost adjustments via Cost Adjustment Factor</t>
        </is>
      </c>
    </row>
    <row r="10">
      <c r="A10" s="8" t="inlineStr">
        <is>
          <t>D50  |  Electrical / Communications</t>
        </is>
      </c>
      <c r="B10" s="6">
        <f>ROUND( SUMIF(SCOPE_DETAIL!H:H,"D50",SCOPE_DETAIL!G:G) * (PARAMETERS!B34/PARAMETERS!B33) * PARAMETERS!B37 / 1000, 0)</f>
        <v/>
      </c>
      <c r="C10" s="5" t="inlineStr">
        <is>
          <t>UNIFORMAT II Lv2 D50 rollup; absorbs base-cost adjustments via Cost Adjustment Factor</t>
        </is>
      </c>
    </row>
    <row r="11">
      <c r="A11" s="8" t="inlineStr">
        <is>
          <t>E20  |  Furnishings</t>
        </is>
      </c>
      <c r="B11" s="6">
        <f>ROUND( SUMIF(SCOPE_DETAIL!H:H,"E20",SCOPE_DETAIL!G:G) * (PARAMETERS!B34/PARAMETERS!B33) * PARAMETERS!B37 / 1000, 0)</f>
        <v/>
      </c>
      <c r="C11" s="5" t="inlineStr">
        <is>
          <t>UNIFORMAT II Lv2 E20 rollup; absorbs base-cost adjustments via Cost Adjustment Factor</t>
        </is>
      </c>
    </row>
    <row r="12">
      <c r="A12" s="8" t="inlineStr">
        <is>
          <t>F20  |  Selective Demolition</t>
        </is>
      </c>
      <c r="B12" s="6">
        <f>ROUND( SUMIF(SCOPE_DETAIL!H:H,"F20",SCOPE_DETAIL!G:G) * (PARAMETERS!B34/PARAMETERS!B33) * PARAMETERS!B37 / 1000, 0)</f>
        <v/>
      </c>
      <c r="C12" s="5" t="inlineStr">
        <is>
          <t>UNIFORMAT II Lv2 F20 rollup; absorbs base-cost adjustments via Cost Adjustment Factor</t>
        </is>
      </c>
    </row>
    <row r="13">
      <c r="A13" s="8" t="inlineStr">
        <is>
          <t>G10  |  Site Preparation</t>
        </is>
      </c>
      <c r="B13" s="6">
        <f>ROUND( SUMIF(SCOPE_DETAIL!H:H,"G10",SCOPE_DETAIL!G:G) * (PARAMETERS!B34/PARAMETERS!B33) * PARAMETERS!B37 / 1000, 0)</f>
        <v/>
      </c>
      <c r="C13" s="5" t="inlineStr">
        <is>
          <t>UNIFORMAT II Lv2 G10 rollup; absorbs base-cost adjustments via Cost Adjustment Factor</t>
        </is>
      </c>
    </row>
    <row r="14">
      <c r="A14" s="8" t="inlineStr">
        <is>
          <t>G20  |  Site Improvements</t>
        </is>
      </c>
      <c r="B14" s="6">
        <f>ROUND( SUMIF(SCOPE_DETAIL!H:H,"G20",SCOPE_DETAIL!G:G) * (PARAMETERS!B34/PARAMETERS!B33) * PARAMETERS!B37 / 1000, 0)</f>
        <v/>
      </c>
      <c r="C14" s="5" t="inlineStr">
        <is>
          <t>UNIFORMAT II Lv2 G20 rollup; absorbs base-cost adjustments via Cost Adjustment Factor</t>
        </is>
      </c>
    </row>
    <row r="15">
      <c r="A15" s="7" t="inlineStr">
        <is>
          <t>ITEMS SUBTOTAL  (PAX Block 9 paste total)</t>
        </is>
      </c>
      <c r="B15" s="6">
        <f>SUM(B4:B14)</f>
        <v/>
      </c>
      <c r="C15" s="5" t="inlineStr">
        <is>
          <t>Sum of discipline rollups; this is the value pasted into PAX items table</t>
        </is>
      </c>
    </row>
    <row r="17">
      <c r="A17" s="8" t="inlineStr">
        <is>
          <t>Contingency (10.0%)  PAX-applied</t>
        </is>
      </c>
      <c r="B17" s="6">
        <f>B15*0.10</f>
        <v/>
      </c>
      <c r="C17" s="5" t="inlineStr">
        <is>
          <t>10% of items subtotal; FSRM program-directed</t>
        </is>
      </c>
    </row>
    <row r="18">
      <c r="A18" s="8" t="inlineStr">
        <is>
          <t>Total Contract Cost</t>
        </is>
      </c>
      <c r="B18" s="6">
        <f>B15*1.10</f>
        <v/>
      </c>
      <c r="C18" s="5" t="inlineStr">
        <is>
          <t>Items subtotal x 1.10</t>
        </is>
      </c>
    </row>
    <row r="19">
      <c r="A19" s="8" t="inlineStr">
        <is>
          <t>SIOH (8.0%)  PAX-applied</t>
        </is>
      </c>
      <c r="B19" s="6">
        <f>B15*1.10*0.08</f>
        <v/>
      </c>
      <c r="C19" s="5" t="inlineStr">
        <is>
          <t>8% of TCC; OCONUS FSRM customer-directed</t>
        </is>
      </c>
    </row>
    <row r="20">
      <c r="A20" s="8" t="inlineStr">
        <is>
          <t>Total Funded Cost</t>
        </is>
      </c>
      <c r="B20" s="6">
        <f>B15*1.10*1.08</f>
        <v/>
      </c>
      <c r="C20" s="5" t="inlineStr">
        <is>
          <t>TCC x 1.08</t>
        </is>
      </c>
    </row>
    <row r="21">
      <c r="A21" s="8" t="inlineStr">
        <is>
          <t>DB Design (4.0%)  PAX-applied</t>
        </is>
      </c>
      <c r="B21" s="6">
        <f>B15*1.10*1.08*0.04</f>
        <v/>
      </c>
      <c r="C21" s="5" t="inlineStr">
        <is>
          <t>4% of TFC; UFC 3-730-01 (2024)</t>
        </is>
      </c>
    </row>
    <row r="22">
      <c r="A22" s="8" t="inlineStr">
        <is>
          <t>TOTAL PROJECT COST</t>
        </is>
      </c>
      <c r="B22" s="6">
        <f>B15*1.23552</f>
        <v/>
      </c>
      <c r="C22" s="5" t="inlineStr">
        <is>
          <t>TFC x 1.04 = items subtotal x 1.23552</t>
        </is>
      </c>
    </row>
    <row r="23">
      <c r="A23" s="7" t="inlineStr">
        <is>
          <t>TOTAL PROJECT COST  ($000 rounded)</t>
        </is>
      </c>
      <c r="B23" s="22">
        <f>ROUND(B22,0)</f>
        <v/>
      </c>
      <c r="C23" s="5" t="inlineStr">
        <is>
          <t>Printed TPC on DD Form 1391 face</t>
        </is>
      </c>
    </row>
    <row r="25">
      <c r="A25" s="23" t="inlineStr">
        <is>
          <t>Planning and Design (6.0%)  NON ADD</t>
        </is>
      </c>
      <c r="B25" s="24">
        <f>ROUND(B15*0.06,0)</f>
        <v/>
      </c>
      <c r="C25" s="25" t="inlineStr">
        <is>
          <t>Informational; does not roll into TPC; PAX renders separately on form</t>
        </is>
      </c>
    </row>
    <row r="27">
      <c r="A27" s="8" t="inlineStr">
        <is>
          <t>Reconciliation (must equal 0)</t>
        </is>
      </c>
      <c r="B27" s="9">
        <f>B23-ROUND(PARAMETERS!B35/1000,0)</f>
        <v/>
      </c>
      <c r="C27" s="5" t="inlineStr">
        <is>
          <t>Printed TPC ($000) minus Locked TPC ($000)</t>
        </is>
      </c>
    </row>
    <row r="29">
      <c r="A29" s="2" t="inlineStr">
        <is>
          <t>CLASSIFICATION OF WORK</t>
        </is>
      </c>
    </row>
    <row r="30">
      <c r="A30" s="8" t="inlineStr">
        <is>
          <t>Construction</t>
        </is>
      </c>
      <c r="B30" s="15">
        <f>B23</f>
        <v/>
      </c>
      <c r="C30" s="5" t="inlineStr">
        <is>
          <t>100% of Total Project Cost  |  10 U.S.C. Section 2802</t>
        </is>
      </c>
    </row>
    <row r="31">
      <c r="A31" s="8" t="inlineStr">
        <is>
          <t>Special Interest: Restoration and Modernization</t>
        </is>
      </c>
      <c r="B31" s="15">
        <f>B23</f>
        <v/>
      </c>
      <c r="C31" s="5" t="inlineStr">
        <is>
          <t>100% SRM  |  MCO 11000.12  |  DoD 4270.5-M</t>
        </is>
      </c>
    </row>
  </sheetData>
  <mergeCells count="3">
    <mergeCell ref="A1:C1"/>
    <mergeCell ref="B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2026-04-29T22:03:41Z</dcterms:created>
  <dcterms:modified xsi:type="dcterms:W3CDTF">2026-04-29T22:03:41Z</dcterms:modified>
</cp:coreProperties>
</file>