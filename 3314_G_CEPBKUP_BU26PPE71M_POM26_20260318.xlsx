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LOCK9" sheetId="2" state="visible" r:id="rId2"/>
    <sheet name="BLOCK10" sheetId="3" state="visible" r:id="rId3"/>
    <sheet name="BACKUP" sheetId="4" state="visible" r:id="rId4"/>
    <sheet name="RATES" sheetId="5" state="visible" r:id="rId5"/>
    <sheet name="REFERENCES" sheetId="6" state="visible" r:id="rId6"/>
  </sheets>
  <definedNames/>
  <calcPr calcId="124519" fullCalcOnLoad="1"/>
</workbook>
</file>

<file path=xl/styles.xml><?xml version="1.0" encoding="utf-8"?>
<styleSheet xmlns="http://schemas.openxmlformats.org/spreadsheetml/2006/main">
  <numFmts count="7">
    <numFmt numFmtId="164" formatCode="&quot;$&quot;#,##0"/>
    <numFmt numFmtId="165" formatCode="0.00000"/>
    <numFmt numFmtId="166" formatCode="&quot;$&quot;#,##0.00"/>
    <numFmt numFmtId="167" formatCode="&quot;$&quot;#,##0;[Red]&quot;$&quot;-#,##0"/>
    <numFmt numFmtId="168" formatCode="#,##0;[Red]-#,##0"/>
    <numFmt numFmtId="169" formatCode="&quot;(&quot;#,##0&quot;)&quot;"/>
    <numFmt numFmtId="170" formatCode="0.0%"/>
  </numFmts>
  <fonts count="4">
    <font>
      <name val="Calibri"/>
      <family val="2"/>
      <color theme="1"/>
      <sz val="11"/>
      <scheme val="minor"/>
    </font>
    <font>
      <b val="1"/>
      <sz val="14"/>
    </font>
    <font>
      <b val="1"/>
    </font>
    <font>
      <b val="1"/>
      <sz val="12"/>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left style="thin"/>
      <right style="thin"/>
      <top style="thin"/>
      <bottom style="thin"/>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2" fillId="2" borderId="1" applyAlignment="1" pivotButton="0" quotePrefix="0" xfId="0">
      <alignment horizontal="center"/>
    </xf>
    <xf numFmtId="0" fontId="2" fillId="0" borderId="1" pivotButton="0" quotePrefix="0" xfId="0"/>
    <xf numFmtId="0" fontId="0" fillId="0" borderId="1" pivotButton="0" quotePrefix="0" xfId="0"/>
    <xf numFmtId="3" fontId="2" fillId="0" borderId="1" pivotButton="0" quotePrefix="0" xfId="0"/>
    <xf numFmtId="0" fontId="0" fillId="0" borderId="1" applyAlignment="1" pivotButton="0" quotePrefix="0" xfId="0">
      <alignment horizontal="center"/>
    </xf>
    <xf numFmtId="3" fontId="0" fillId="0" borderId="1" applyAlignment="1" pivotButton="0" quotePrefix="0" xfId="0">
      <alignment horizontal="right"/>
    </xf>
    <xf numFmtId="4" fontId="0" fillId="0" borderId="1" applyAlignment="1" pivotButton="0" quotePrefix="0" xfId="0">
      <alignment horizontal="right"/>
    </xf>
    <xf numFmtId="3" fontId="2" fillId="0" borderId="0" pivotButton="0" quotePrefix="0" xfId="0"/>
    <xf numFmtId="3" fontId="0" fillId="0" borderId="0" pivotButton="0" quotePrefix="0" xfId="0"/>
    <xf numFmtId="0" fontId="2" fillId="2" borderId="0" pivotButton="0" quotePrefix="0" xfId="0"/>
    <xf numFmtId="3" fontId="2" fillId="2" borderId="0" pivotButton="0" quotePrefix="0" xfId="0"/>
    <xf numFmtId="169" fontId="0" fillId="0" borderId="0" pivotButton="0" quotePrefix="0" xfId="0"/>
    <xf numFmtId="0" fontId="0" fillId="0" borderId="0" applyAlignment="1" pivotButton="0" quotePrefix="0" xfId="0">
      <alignment vertical="top" wrapText="1"/>
    </xf>
    <xf numFmtId="164" fontId="0" fillId="3" borderId="0" pivotButton="0" quotePrefix="0" xfId="0"/>
    <xf numFmtId="3" fontId="0" fillId="3" borderId="0" pivotButton="0" quotePrefix="0" xfId="0"/>
    <xf numFmtId="165" fontId="0" fillId="3" borderId="0" pivotButton="0" quotePrefix="0" xfId="0"/>
    <xf numFmtId="166" fontId="0" fillId="3" borderId="0" pivotButton="0" quotePrefix="0" xfId="0"/>
    <xf numFmtId="164" fontId="0" fillId="0" borderId="0" pivotButton="0" quotePrefix="0" xfId="0"/>
    <xf numFmtId="167" fontId="0" fillId="0" borderId="0" pivotButton="0" quotePrefix="0" xfId="0"/>
    <xf numFmtId="168" fontId="2"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8" customWidth="1" min="1" max="1"/>
    <col width="80" customWidth="1" min="2" max="2"/>
  </cols>
  <sheetData>
    <row r="1">
      <c r="A1" s="1" t="inlineStr">
        <is>
          <t>DD FORM 1391 COST ESTIMATE</t>
        </is>
      </c>
    </row>
    <row r="3">
      <c r="A3" s="2" t="inlineStr">
        <is>
          <t>Building</t>
        </is>
      </c>
      <c r="B3" t="inlineStr">
        <is>
          <t>SCH-3314</t>
        </is>
      </c>
    </row>
    <row r="4">
      <c r="A4" s="2" t="inlineStr">
        <is>
          <t>iNFADS Description</t>
        </is>
      </c>
      <c r="B4" t="inlineStr">
        <is>
          <t>BATTALION SQUADRON HEADQUARTERS</t>
        </is>
      </c>
    </row>
    <row r="5">
      <c r="A5" s="2" t="inlineStr">
        <is>
          <t>Primary CCN</t>
        </is>
      </c>
      <c r="B5" t="n">
        <v>61072</v>
      </c>
    </row>
    <row r="6">
      <c r="A6" s="2" t="inlineStr">
        <is>
          <t>RPUID</t>
        </is>
      </c>
      <c r="B6" t="n">
        <v>50931</v>
      </c>
    </row>
    <row r="7">
      <c r="A7" s="2" t="inlineStr">
        <is>
          <t>PAX ID</t>
        </is>
      </c>
      <c r="B7" t="n">
        <v>387433</v>
      </c>
    </row>
    <row r="8">
      <c r="A8" s="2" t="inlineStr">
        <is>
          <t>Fi Web Project Number</t>
        </is>
      </c>
      <c r="B8" t="inlineStr">
        <is>
          <t>BU26PPE71M</t>
        </is>
      </c>
    </row>
    <row r="9">
      <c r="A9" s="2" t="inlineStr">
        <is>
          <t>Installation/UIC</t>
        </is>
      </c>
      <c r="B9" t="inlineStr">
        <is>
          <t>M67400 (SH)</t>
        </is>
      </c>
    </row>
    <row r="10">
      <c r="A10" s="2" t="inlineStr">
        <is>
          <t>Location</t>
        </is>
      </c>
      <c r="B10" t="inlineStr">
        <is>
          <t>MARINE CORPS BASE, CAMP SMEDLEY BUTLER (CAMP SCHWAB-6009), HENOKO OKINAWA, JAPAN</t>
        </is>
      </c>
    </row>
    <row r="11">
      <c r="A11" s="2" t="inlineStr">
        <is>
          <t>Project Title</t>
        </is>
      </c>
      <c r="B11" t="inlineStr">
        <is>
          <t>Repair Bldg 3314, Convert to 4th MarRegt Regimental HQ</t>
        </is>
      </c>
    </row>
    <row r="12">
      <c r="A12" s="2" t="inlineStr">
        <is>
          <t>Fund Type</t>
        </is>
      </c>
      <c r="B12" t="inlineStr">
        <is>
          <t>O&amp;MMC</t>
        </is>
      </c>
    </row>
    <row r="13">
      <c r="A13" s="2" t="inlineStr">
        <is>
          <t>Acquisition Method</t>
        </is>
      </c>
      <c r="B13" t="inlineStr">
        <is>
          <t>Design-Build (DB)</t>
        </is>
      </c>
    </row>
    <row r="14">
      <c r="A14" s="2" t="inlineStr">
        <is>
          <t>Total Building GSF (iNFADS)</t>
        </is>
      </c>
      <c r="B14" t="n">
        <v>28699</v>
      </c>
    </row>
    <row r="15">
      <c r="A15" s="2" t="inlineStr">
        <is>
          <t>PRV (iNFADS)</t>
        </is>
      </c>
      <c r="B15" t="n">
        <v>29826797</v>
      </c>
    </row>
    <row r="16">
      <c r="A16" s="2" t="inlineStr">
        <is>
          <t>LSH (2.5% of PRV)</t>
        </is>
      </c>
      <c r="B16" t="n">
        <v>745670</v>
      </c>
    </row>
    <row r="17">
      <c r="A17" s="2" t="inlineStr">
        <is>
          <t>Locked Total Project Cost ($)</t>
        </is>
      </c>
      <c r="B17" t="n">
        <v>1949383</v>
      </c>
    </row>
    <row r="18">
      <c r="A18" s="2" t="inlineStr">
        <is>
          <t>Locked TPC ($000, printed)</t>
        </is>
      </c>
      <c r="B18" t="n">
        <v>1949</v>
      </c>
    </row>
    <row r="19">
      <c r="A19" s="2" t="inlineStr">
        <is>
          <t>Prepared By</t>
        </is>
      </c>
      <c r="B19" t="inlineStr">
        <is>
          <t>Anthony L. Potter, Facilities Planner, MCIPAC G-F PPE</t>
        </is>
      </c>
    </row>
    <row r="20">
      <c r="A20" s="2" t="inlineStr">
        <is>
          <t>Signing Officer (PWO)</t>
        </is>
      </c>
      <c r="B20" t="inlineStr">
        <is>
          <t>CDR Justus K. O'Connor</t>
        </is>
      </c>
    </row>
    <row r="21">
      <c r="A21" s="2" t="inlineStr">
        <is>
          <t>Government Client</t>
        </is>
      </c>
      <c r="B21" t="inlineStr">
        <is>
          <t>Bil Hawkins, P.E., PMP, Deputy PWO</t>
        </is>
      </c>
    </row>
    <row r="22">
      <c r="A22" s="2" t="inlineStr">
        <is>
          <t>Reviewer</t>
        </is>
      </c>
      <c r="B22" t="inlineStr">
        <is>
          <t>Robert W. Kaye, RA, Planning Director NAVFAC FEAD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60" customWidth="1" min="1" max="1"/>
    <col width="6" customWidth="1" min="2" max="2"/>
    <col width="12" customWidth="1" min="3" max="3"/>
    <col width="12" customWidth="1" min="4" max="4"/>
    <col width="14" customWidth="1" min="5" max="5"/>
  </cols>
  <sheetData>
    <row r="1">
      <c r="A1" s="3" t="inlineStr">
        <is>
          <t>9. Cost Estimates</t>
        </is>
      </c>
    </row>
    <row r="3">
      <c r="A3" s="4" t="inlineStr">
        <is>
          <t>Item</t>
        </is>
      </c>
      <c r="B3" s="4" t="inlineStr">
        <is>
          <t>UM</t>
        </is>
      </c>
      <c r="C3" s="4" t="inlineStr">
        <is>
          <t>Quantity</t>
        </is>
      </c>
      <c r="D3" s="4" t="inlineStr">
        <is>
          <t>Unit Cost</t>
        </is>
      </c>
      <c r="E3" s="4" t="inlineStr">
        <is>
          <t>Cost ($000)</t>
        </is>
      </c>
    </row>
    <row r="4">
      <c r="A4" s="5" t="inlineStr">
        <is>
          <t>PRIMARY FACILITY</t>
        </is>
      </c>
      <c r="B4" s="6" t="n"/>
      <c r="C4" s="6" t="n"/>
      <c r="D4" s="6" t="n"/>
      <c r="E4" s="7">
        <f>BACKUP!B13</f>
        <v/>
      </c>
    </row>
    <row r="5">
      <c r="A5" s="6" t="inlineStr">
        <is>
          <t xml:space="preserve">  BATTALION SQUADRON HEADQUARTERS FAC#3314 (Conversion / Alteration)</t>
        </is>
      </c>
      <c r="B5" s="8" t="inlineStr">
        <is>
          <t>SF</t>
        </is>
      </c>
      <c r="C5" s="9">
        <f>BACKUP!B5</f>
        <v/>
      </c>
      <c r="D5" s="10">
        <f>BACKUP!B11</f>
        <v/>
      </c>
      <c r="E5" s="9">
        <f>ROUND(C5*D5/1000,0)</f>
        <v/>
      </c>
    </row>
    <row r="7">
      <c r="A7" s="2" t="inlineStr">
        <is>
          <t>Subtotal</t>
        </is>
      </c>
      <c r="E7" s="11">
        <f>BACKUP!B13</f>
        <v/>
      </c>
    </row>
    <row r="8">
      <c r="A8" t="inlineStr">
        <is>
          <t>Contingency (10.0%)</t>
        </is>
      </c>
      <c r="E8" s="12">
        <f>ROUND(BACKUP!B17/1000,0)</f>
        <v/>
      </c>
    </row>
    <row r="9">
      <c r="A9" s="2" t="inlineStr">
        <is>
          <t>Total Contract Cost</t>
        </is>
      </c>
      <c r="E9" s="11">
        <f>ROUND(BACKUP!B18/1000,0)</f>
        <v/>
      </c>
    </row>
    <row r="10">
      <c r="A10" t="inlineStr">
        <is>
          <t>Supervision, Inspection and Overhead (8.0%)</t>
        </is>
      </c>
      <c r="E10" s="12">
        <f>ROUND(BACKUP!B19/1000,0)</f>
        <v/>
      </c>
    </row>
    <row r="11">
      <c r="A11" s="2" t="inlineStr">
        <is>
          <t>Total Funded Cost</t>
        </is>
      </c>
      <c r="E11" s="11">
        <f>ROUND(BACKUP!B20/1000,0)</f>
        <v/>
      </c>
    </row>
    <row r="12">
      <c r="A12" t="inlineStr">
        <is>
          <t>Design-Build - Design Cost (4.0%)</t>
        </is>
      </c>
      <c r="E12" s="12">
        <f>ROUND(BACKUP!B21/1000,0)</f>
        <v/>
      </c>
    </row>
    <row r="13">
      <c r="A13" s="13" t="inlineStr">
        <is>
          <t>TOTAL PROJECT COST</t>
        </is>
      </c>
      <c r="E13" s="14">
        <f>BACKUP!B23</f>
        <v/>
      </c>
    </row>
    <row r="14">
      <c r="A14" t="inlineStr">
        <is>
          <t>Planning and Design (6.0%) (NON ADD)</t>
        </is>
      </c>
      <c r="E14" s="15">
        <f>ROUND(BACKUP!B24/1000,0)</f>
        <v/>
      </c>
    </row>
    <row r="15">
      <c r="A15" t="inlineStr">
        <is>
          <t>Equipment from Other Appropriations (NON ADD)</t>
        </is>
      </c>
      <c r="E15" s="15" t="n">
        <v>0</v>
      </c>
    </row>
    <row r="17">
      <c r="A17" s="2" t="inlineStr">
        <is>
          <t>Classification of Work</t>
        </is>
      </c>
    </row>
    <row r="18">
      <c r="A18" t="inlineStr">
        <is>
          <t xml:space="preserve">  Construction</t>
        </is>
      </c>
      <c r="E18" s="12">
        <f>E13</f>
        <v/>
      </c>
    </row>
    <row r="19">
      <c r="A19" s="2" t="inlineStr">
        <is>
          <t>Special Interest Codes</t>
        </is>
      </c>
    </row>
    <row r="20">
      <c r="A20" t="inlineStr">
        <is>
          <t xml:space="preserve">  Restoration and Modernization</t>
        </is>
      </c>
      <c r="E20" s="12">
        <f>E13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10" customWidth="1" min="1" max="1"/>
  </cols>
  <sheetData>
    <row r="1">
      <c r="A1" s="3" t="inlineStr">
        <is>
          <t>10. Description of Proposed Construction</t>
        </is>
      </c>
    </row>
    <row r="3" ht="800" customHeight="1">
      <c r="A3" s="16" t="inlineStr">
        <is>
          <t>The building serves as the primary administrative space for 4th Marine Regiment (4th
  MarRegt) Command Headquarters on Camp Schwab. Following completion of this project,
  the building will remain in operational use for a minimum of 20 years.
  This project provides for the repair by replacement of end-of-life mechanical
  systems, a significant upgrade of the telecommunications infrastructure, and the
  reconfiguration of secure spaces on the first and second floors of Building 3314.
  On the first floor, the work includes the comprehensive restoration of the HVAC
  systems. This involves the removal of the existing condensing unit, evaporator
  coils, and associated piping. Two new central station chilled water air handling
  units will be installed in the mechanical room to replace the original 2007
  equipment. The mechanical room overhaul includes replacement of chilled water
  piping, sensors, dampers, expansion tank, ductwork, and insulation. The domestic hot
  water system will also be repaired by replacement, including a new 100-gallon
  electric water heater and two domestic hot water recirculation pumps. The
  unclassified NIPRNET connectivity will be expanded, and a new junction box will be
  installed to support the facility's Mass Notification System.
  On the second floor, HVAC restoration includes the removal of evaporator coils and
  associated refrigerant piping, and NIPRNET connectivity will also be expanded. The
  primary scope on this floor is the reconfiguration of secure spaces. The existing
  SIPR area (Rooms 209-212) will be de-certified. The vault door will remain in place
  to support continued secure storage; the SIPR network rack will be removed. This
  includes the installation of a new GSA Class 5 vault door, the installation of
  security bars on all windows within the space, and the installation of raceways for
  a new Intrusion Detection System (IDS). The new OSS will be equipped with network
  racks and supporting infrastructure to host three distinct networks: unclassified
  (NIPR), SECRET (SIPR), and Coalition.
  All network upgrades will be performed in compliance with current MCIPAC G-6 policy.
  All ceilings and surfaces affected by construction will be restored to match
  adjacent finishes. The project will adhere to all current UFC standards, including
  AT/FP, physical security, and life safety, and will repair minor deficiencies
  identified during the scope.
  CYBERSECURITY: The project's design and construction shall fully address Facility-
  Related Control Systems (FRCS) cybersecurity requirements, to include cybersecurity
  commissioning. These requirements are in accordance with current Department of
  Defense (DoD) criteria, Unified Facilities Criteria (UFC) standards, and National
  Institute of Standards and Technology (NIST) guidelines. Cybersecurity features
  include hardware, software, documentation, and testing provided by the construction
  contractor for FRCS. Cybersecurity commissioning covers government-provided
  documentation and testing for FRCS cybersecurity.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50" customWidth="1" min="1" max="1"/>
    <col width="18" customWidth="1" min="2" max="2"/>
  </cols>
  <sheetData>
    <row r="1">
      <c r="A1" s="3" t="inlineStr">
        <is>
          <t>BACKUP - Locked TPC back-solver (drives BLOCK9 face)</t>
        </is>
      </c>
    </row>
    <row r="3">
      <c r="A3" s="13" t="inlineStr">
        <is>
          <t>INPUTS (locked)</t>
        </is>
      </c>
    </row>
    <row r="4">
      <c r="A4" s="2" t="inlineStr">
        <is>
          <t>Locked TPC ($)</t>
        </is>
      </c>
      <c r="B4" s="17" t="n">
        <v>1949383</v>
      </c>
    </row>
    <row r="5">
      <c r="A5" s="2" t="inlineStr">
        <is>
          <t>GSF (iNFADS, locked Quantity)</t>
        </is>
      </c>
      <c r="B5" s="18" t="n">
        <v>28699</v>
      </c>
    </row>
    <row r="6">
      <c r="A6" s="2" t="inlineStr">
        <is>
          <t>PRV ($, iNFADS)</t>
        </is>
      </c>
      <c r="B6" s="17" t="n">
        <v>29826797</v>
      </c>
    </row>
    <row r="7">
      <c r="A7" s="2" t="inlineStr">
        <is>
          <t>LSH ($, 2.5% of PRV)</t>
        </is>
      </c>
      <c r="B7" s="17">
        <f>B6*0.025</f>
        <v/>
      </c>
    </row>
    <row r="8">
      <c r="A8" s="2" t="inlineStr">
        <is>
          <t>Multiplier (1.10 x 1.08 x 1.04)</t>
        </is>
      </c>
      <c r="B8" s="19" t="n">
        <v>1.23552</v>
      </c>
    </row>
    <row r="10">
      <c r="A10" s="13" t="inlineStr">
        <is>
          <t>PAX ENTRY (what Anthony types into Block 9)</t>
        </is>
      </c>
    </row>
    <row r="11">
      <c r="A11" s="2" t="inlineStr">
        <is>
          <t>Unit Cost ($/SF) - calibrated to land Locked TPC at $000</t>
        </is>
      </c>
      <c r="B11" s="20" t="n">
        <v>54.98</v>
      </c>
    </row>
    <row r="12">
      <c r="A12" s="2" t="inlineStr">
        <is>
          <t>Items Table Subtotal (raw $) = GSF x UC</t>
        </is>
      </c>
      <c r="B12" s="21">
        <f>B5*B11</f>
        <v/>
      </c>
    </row>
    <row r="13">
      <c r="A13" s="2" t="inlineStr">
        <is>
          <t>Items Table Subtotal ($000)</t>
        </is>
      </c>
      <c r="B13" s="12">
        <f>ROUND(B12/1000,0)</f>
        <v/>
      </c>
    </row>
    <row r="15">
      <c r="A15" s="13" t="inlineStr">
        <is>
          <t>PAX ROLLUP (computed from items table subtotal, raw $)</t>
        </is>
      </c>
    </row>
    <row r="16">
      <c r="A16" s="2" t="inlineStr">
        <is>
          <t>Subtotal ($)</t>
        </is>
      </c>
      <c r="B16" s="21">
        <f>B12</f>
        <v/>
      </c>
    </row>
    <row r="17">
      <c r="A17" s="2" t="inlineStr">
        <is>
          <t>Contingency (10.0%)</t>
        </is>
      </c>
      <c r="B17" s="21">
        <f>B16*0.10</f>
        <v/>
      </c>
    </row>
    <row r="18">
      <c r="A18" s="2" t="inlineStr">
        <is>
          <t>Total Contract Cost</t>
        </is>
      </c>
      <c r="B18" s="21">
        <f>B16+B17</f>
        <v/>
      </c>
    </row>
    <row r="19">
      <c r="A19" s="2" t="inlineStr">
        <is>
          <t>SIOH (8.0%)</t>
        </is>
      </c>
      <c r="B19" s="21">
        <f>B18*0.08</f>
        <v/>
      </c>
    </row>
    <row r="20">
      <c r="A20" s="2" t="inlineStr">
        <is>
          <t>Total Funded Cost</t>
        </is>
      </c>
      <c r="B20" s="21">
        <f>B18+B19</f>
        <v/>
      </c>
    </row>
    <row r="21">
      <c r="A21" s="2" t="inlineStr">
        <is>
          <t>Design-Build Design (4.0%)</t>
        </is>
      </c>
      <c r="B21" s="21">
        <f>B20*0.04</f>
        <v/>
      </c>
    </row>
    <row r="22">
      <c r="A22" s="2" t="inlineStr">
        <is>
          <t>Total Project Cost ($)</t>
        </is>
      </c>
      <c r="B22" s="21">
        <f>B20+B21</f>
        <v/>
      </c>
    </row>
    <row r="23">
      <c r="A23" s="2" t="inlineStr">
        <is>
          <t>Total Project Cost ($000)</t>
        </is>
      </c>
      <c r="B23" s="12">
        <f>ROUND(B22/1000,0)</f>
        <v/>
      </c>
    </row>
    <row r="24">
      <c r="A24" s="2" t="inlineStr">
        <is>
          <t>Planning and Design (6.0%) (NON ADD)</t>
        </is>
      </c>
      <c r="B24" s="21">
        <f>B22*0.06</f>
        <v/>
      </c>
    </row>
    <row r="26">
      <c r="A26" s="13" t="inlineStr">
        <is>
          <t>RECONCILIATION</t>
        </is>
      </c>
    </row>
    <row r="27">
      <c r="A27" t="inlineStr">
        <is>
          <t>Workbook TPC ($)</t>
        </is>
      </c>
      <c r="B27" s="21">
        <f>B22</f>
        <v/>
      </c>
    </row>
    <row r="28">
      <c r="A28" t="inlineStr">
        <is>
          <t>Locked TPC ($)</t>
        </is>
      </c>
      <c r="B28" s="21">
        <f>B4</f>
        <v/>
      </c>
    </row>
    <row r="29">
      <c r="A29" t="inlineStr">
        <is>
          <t>Delta ($)</t>
        </is>
      </c>
      <c r="B29" s="22">
        <f>B27-B28</f>
        <v/>
      </c>
    </row>
    <row r="30">
      <c r="A30" t="inlineStr">
        <is>
          <t>Workbook TPC ($000)</t>
        </is>
      </c>
      <c r="B30" s="12">
        <f>B23</f>
        <v/>
      </c>
    </row>
    <row r="31">
      <c r="A31" t="inlineStr">
        <is>
          <t>Locked TPC ($000, printed)</t>
        </is>
      </c>
      <c r="B31" s="12">
        <f>ROUND(B4/1000,0)</f>
        <v/>
      </c>
    </row>
    <row r="32">
      <c r="A32" s="2" t="inlineStr">
        <is>
          <t>Delta ($000) - MUST BE 0</t>
        </is>
      </c>
      <c r="B32" s="23">
        <f>B30-B31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8" customWidth="1" min="1" max="1"/>
    <col width="14" customWidth="1" min="2" max="2"/>
    <col width="80" customWidth="1" min="3" max="3"/>
  </cols>
  <sheetData>
    <row r="1">
      <c r="A1" s="3" t="inlineStr">
        <is>
          <t>RATES (PAX Associated Costs and project parameters)</t>
        </is>
      </c>
    </row>
    <row r="3">
      <c r="A3" s="13" t="inlineStr">
        <is>
          <t>PAX Associated Costs (pre-loaded by operator)</t>
        </is>
      </c>
    </row>
    <row r="4">
      <c r="A4" s="2" t="inlineStr">
        <is>
          <t>Contingency</t>
        </is>
      </c>
      <c r="B4" s="24" t="n">
        <v>0.1</v>
      </c>
      <c r="C4" t="inlineStr">
        <is>
          <t>FSRM program-directed; CRB Guidelines May 2024 (REV #15)</t>
        </is>
      </c>
    </row>
    <row r="5">
      <c r="A5" s="2" t="inlineStr">
        <is>
          <t>Supervision Inspection and Overhead (SIOH)</t>
        </is>
      </c>
      <c r="B5" s="24" t="n">
        <v>0.08</v>
      </c>
      <c r="C5" t="inlineStr">
        <is>
          <t>OCONUS FSRM customer-directed for MCIPAC G-F</t>
        </is>
      </c>
    </row>
    <row r="6">
      <c r="A6" s="2" t="inlineStr">
        <is>
          <t>Design Build (DBD) - REQUIRED</t>
        </is>
      </c>
      <c r="B6" s="24" t="n">
        <v>0.04</v>
      </c>
      <c r="C6" t="inlineStr">
        <is>
          <t>UFC 3-730-01 (2024) - applied after Total Funded Cost</t>
        </is>
      </c>
    </row>
    <row r="7">
      <c r="A7" s="2" t="inlineStr">
        <is>
          <t>Planning and Design (P&amp;D) (NON ADD)</t>
        </is>
      </c>
      <c r="B7" s="24" t="n">
        <v>0.06</v>
      </c>
      <c r="C7" t="inlineStr">
        <is>
          <t>Does not roll into TPC</t>
        </is>
      </c>
    </row>
    <row r="9">
      <c r="A9" s="13" t="inlineStr">
        <is>
          <t>Project parameters</t>
        </is>
      </c>
    </row>
    <row r="10">
      <c r="A10" s="2" t="inlineStr">
        <is>
          <t>Area Cost Factor (ACF)</t>
        </is>
      </c>
      <c r="B10" t="n">
        <v>1.85</v>
      </c>
      <c r="C10" t="inlineStr">
        <is>
          <t>UFC 3-701-01 w/Change 7 (25 Jul 2025), Table 4-1, M67400-0004 OCONUS Okinawa</t>
        </is>
      </c>
    </row>
    <row r="11">
      <c r="A11" s="2" t="inlineStr">
        <is>
          <t>LSH Rate (% of PRV)</t>
        </is>
      </c>
      <c r="B11" s="24" t="n">
        <v>0.025</v>
      </c>
      <c r="C11" t="inlineStr">
        <is>
          <t>Local direction at startup</t>
        </is>
      </c>
    </row>
    <row r="12">
      <c r="A12" s="2" t="inlineStr">
        <is>
          <t>JPY/USD Planning Rate</t>
        </is>
      </c>
      <c r="B12" t="n">
        <v>150.4415</v>
      </c>
      <c r="C12" t="inlineStr">
        <is>
          <t>FY26 budget planning rate</t>
        </is>
      </c>
    </row>
    <row r="13">
      <c r="A13" s="2" t="inlineStr">
        <is>
          <t>JPY/USD H.10 Rate (live)</t>
        </is>
      </c>
      <c r="B13" t="inlineStr"/>
      <c r="C13" t="inlineStr">
        <is>
          <t>Verify Federal Reserve H.10 on date of PAX submission</t>
        </is>
      </c>
    </row>
    <row r="14">
      <c r="A14" s="2" t="inlineStr">
        <is>
          <t>Escalation (annual)</t>
        </is>
      </c>
      <c r="B14" s="24" t="n">
        <v>0.021</v>
      </c>
      <c r="C14" t="inlineStr">
        <is>
          <t>OSD FY25 published rate</t>
        </is>
      </c>
    </row>
    <row r="15">
      <c r="A15" s="2" t="inlineStr">
        <is>
          <t>General Requirements</t>
        </is>
      </c>
      <c r="B15" s="24" t="n">
        <v>0.1</v>
      </c>
      <c r="C15" t="inlineStr">
        <is>
          <t>FSRM program-directed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2" customWidth="1" min="1" max="1"/>
    <col width="18" customWidth="1" min="2" max="2"/>
    <col width="70" customWidth="1" min="3" max="3"/>
  </cols>
  <sheetData>
    <row r="1">
      <c r="A1" s="3" t="inlineStr">
        <is>
          <t>REFERENCES (authority cites)</t>
        </is>
      </c>
    </row>
    <row r="3">
      <c r="A3" s="13" t="inlineStr">
        <is>
          <t>Document</t>
        </is>
      </c>
      <c r="B3" s="13" t="inlineStr">
        <is>
          <t>Date / Edition</t>
        </is>
      </c>
      <c r="C3" s="13" t="inlineStr">
        <is>
          <t>Authority for</t>
        </is>
      </c>
    </row>
    <row r="4">
      <c r="A4" s="2" t="inlineStr">
        <is>
          <t>MCO 11000.5</t>
        </is>
      </c>
      <c r="B4" t="inlineStr">
        <is>
          <t>03 Jun 2016</t>
        </is>
      </c>
      <c r="C4" t="inlineStr">
        <is>
          <t>Real Property FSRM Program</t>
        </is>
      </c>
    </row>
    <row r="5">
      <c r="A5" s="2" t="inlineStr">
        <is>
          <t>MCO 11000.12</t>
        </is>
      </c>
      <c r="B5" t="inlineStr">
        <is>
          <t>08 Sep 2014</t>
        </is>
      </c>
      <c r="C5" t="inlineStr">
        <is>
          <t>Real Property Facilities Manual</t>
        </is>
      </c>
    </row>
    <row r="6">
      <c r="A6" s="2" t="inlineStr">
        <is>
          <t>CRB Guidelines (REV #15)</t>
        </is>
      </c>
      <c r="B6" t="inlineStr">
        <is>
          <t>May 2024</t>
        </is>
      </c>
      <c r="C6" t="inlineStr">
        <is>
          <t>Block 9 line-item sequencing</t>
        </is>
      </c>
    </row>
    <row r="7">
      <c r="A7" s="2" t="inlineStr">
        <is>
          <t>UFC 3-701-01 with Change 7</t>
        </is>
      </c>
      <c r="B7" t="inlineStr">
        <is>
          <t>25 Jul 2025</t>
        </is>
      </c>
      <c r="C7" t="inlineStr">
        <is>
          <t>PUC and ACF tables, Equation 3-1 PRV formula</t>
        </is>
      </c>
    </row>
    <row r="8">
      <c r="A8" s="2" t="inlineStr">
        <is>
          <t>UFC 3-730-01</t>
        </is>
      </c>
      <c r="B8" t="inlineStr">
        <is>
          <t>2024</t>
        </is>
      </c>
      <c r="C8" t="inlineStr">
        <is>
          <t>Design-Build contracting; DB Design 4% applied after TFC</t>
        </is>
      </c>
    </row>
    <row r="9">
      <c r="A9" s="2" t="inlineStr">
        <is>
          <t>JED Cost Estimating Guide</t>
        </is>
      </c>
      <c r="B9" t="inlineStr">
        <is>
          <t>Nov 2025</t>
        </is>
      </c>
      <c r="C9" t="inlineStr">
        <is>
          <t>Cost estimating methodology</t>
        </is>
      </c>
    </row>
    <row r="10">
      <c r="A10" s="2" t="inlineStr">
        <is>
          <t>Japan District Design Guide v9</t>
        </is>
      </c>
      <c r="B10" t="inlineStr">
        <is>
          <t>April 2025</t>
        </is>
      </c>
      <c r="C10" t="inlineStr">
        <is>
          <t>Okinawa-specific design criteria</t>
        </is>
      </c>
    </row>
    <row r="12">
      <c r="A12" s="13" t="inlineStr">
        <is>
          <t>NOT CITED</t>
        </is>
      </c>
    </row>
    <row r="13">
      <c r="A13" t="inlineStr">
        <is>
          <t>NAVFAC 11010.44E</t>
        </is>
      </c>
      <c r="B13" t="inlineStr">
        <is>
          <t>INACTIVE</t>
        </is>
      </c>
      <c r="C13" t="inlineStr">
        <is>
          <t>Inactivated by 1987 issuance; not citable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2026-04-29T07:16:44Z</dcterms:created>
  <dcterms:modified xsi:type="dcterms:W3CDTF">2026-04-29T07:16:44Z</dcterms:modified>
</cp:coreProperties>
</file>