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" sheetId="1" state="visible" r:id="rId1"/>
    <sheet name="SCOPE_DETAIL" sheetId="2" state="visible" r:id="rId2"/>
    <sheet name="PARAMETERS" sheetId="3" state="visible" r:id="rId3"/>
    <sheet name="DD1391_BLOCK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##"/>
    <numFmt numFmtId="165" formatCode="0.000"/>
    <numFmt numFmtId="166" formatCode="0.0%"/>
    <numFmt numFmtId="167" formatCode="0.0000"/>
    <numFmt numFmtId="168" formatCode="#,##0;[Red]-#,##0;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000000"/>
      <sz val="10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FFFCC"/>
      </patternFill>
    </fill>
    <fill>
      <patternFill patternType="solid">
        <fgColor rgb="002E5C9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AA9D6"/>
      </left>
      <right style="thin">
        <color rgb="008AA9D6"/>
      </right>
      <top style="thin">
        <color rgb="008AA9D6"/>
      </top>
      <bottom style="thin">
        <color rgb="008AA9D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168" fontId="6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3" borderId="0" pivotButton="0" quotePrefix="0" xfId="0"/>
    <xf numFmtId="164" fontId="5" fillId="5" borderId="1" applyAlignment="1" pivotButton="0" quotePrefix="0" xfId="0">
      <alignment horizontal="right" vertical="center" wrapText="1"/>
    </xf>
    <xf numFmtId="3" fontId="5" fillId="5" borderId="1" applyAlignment="1" pivotButton="0" quotePrefix="0" xfId="0">
      <alignment horizontal="right" vertical="center" wrapText="1"/>
    </xf>
    <xf numFmtId="3" fontId="5" fillId="4" borderId="1" applyAlignment="1" pivotButton="0" quotePrefix="0" xfId="0">
      <alignment horizontal="right" vertical="center" wrapText="1"/>
    </xf>
    <xf numFmtId="165" fontId="5" fillId="5" borderId="1" applyAlignment="1" pivotButton="0" quotePrefix="0" xfId="0">
      <alignment horizontal="right" vertical="center" wrapText="1"/>
    </xf>
    <xf numFmtId="1" fontId="5" fillId="5" borderId="1" applyAlignment="1" pivotButton="0" quotePrefix="0" xfId="0">
      <alignment horizontal="right" vertical="center" wrapText="1"/>
    </xf>
    <xf numFmtId="166" fontId="5" fillId="4" borderId="1" applyAlignment="1" pivotButton="0" quotePrefix="0" xfId="0">
      <alignment horizontal="right" vertical="center" wrapText="1"/>
    </xf>
    <xf numFmtId="167" fontId="6" fillId="3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 wrapText="1"/>
    </xf>
    <xf numFmtId="0" fontId="2" fillId="0" borderId="0" applyAlignment="1" pivotButton="0" quotePrefix="0" xfId="0">
      <alignment vertical="center" wrapText="1"/>
    </xf>
    <xf numFmtId="3" fontId="3" fillId="2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 wrapText="1"/>
    </xf>
    <xf numFmtId="3" fontId="6" fillId="7" borderId="1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8" customWidth="1" min="3" max="3"/>
    <col width="70" customWidth="1" min="4" max="4"/>
  </cols>
  <sheetData>
    <row r="1" ht="24" customHeight="1">
      <c r="A1" s="1" t="inlineStr">
        <is>
          <t>SCH-3213  |  ROM COST ESTIMATE  |  LEVEL 3  |  FY27  |  PAX ID 387624  |  Fi Web BU26PPE72M</t>
        </is>
      </c>
    </row>
    <row r="3">
      <c r="A3" s="2" t="inlineStr">
        <is>
          <t>A.  ROM FORMULA CHAIN  (live formulas reference PARAMETERS tab)</t>
        </is>
      </c>
    </row>
    <row r="4">
      <c r="A4" s="3" t="inlineStr">
        <is>
          <t>Step</t>
        </is>
      </c>
      <c r="B4" s="3" t="inlineStr">
        <is>
          <t>Element</t>
        </is>
      </c>
      <c r="C4" s="3" t="inlineStr">
        <is>
          <t>Amount ($)</t>
        </is>
      </c>
      <c r="D4" s="3" t="inlineStr">
        <is>
          <t>Formula / Source</t>
        </is>
      </c>
    </row>
    <row r="5">
      <c r="A5" s="4" t="n">
        <v>1</v>
      </c>
      <c r="B5" s="5" t="inlineStr">
        <is>
          <t>Base Direct Cost (FY24 CONUS)</t>
        </is>
      </c>
      <c r="C5" s="6">
        <f>PARAMETERS!B33</f>
        <v/>
      </c>
      <c r="D5" s="5" t="inlineStr">
        <is>
          <t>Sum of all scope items on SCOPE_DETAIL</t>
        </is>
      </c>
    </row>
    <row r="6">
      <c r="A6" s="4" t="n">
        <v>2</v>
      </c>
      <c r="B6" s="5" t="inlineStr">
        <is>
          <t>x ACF 1.85  (Camp Schwab Okinawa)</t>
        </is>
      </c>
      <c r="C6" s="6">
        <f>C5*1.85</f>
        <v/>
      </c>
      <c r="D6" s="5" t="inlineStr">
        <is>
          <t>UFC 3-701-01 w/Ch 7 (25 Jul 2025), Table 4-1</t>
        </is>
      </c>
    </row>
    <row r="7">
      <c r="A7" s="4" t="n">
        <v>3</v>
      </c>
      <c r="B7" s="5" t="inlineStr">
        <is>
          <t>x Compound Escalation Factor</t>
        </is>
      </c>
      <c r="C7" s="6">
        <f>C6*PARAMETERS!B32</f>
        <v/>
      </c>
      <c r="D7" s="5" t="inlineStr">
        <is>
          <t>OSD FY25 published rate; FY24 to FY27</t>
        </is>
      </c>
    </row>
    <row r="8">
      <c r="A8" s="4" t="n">
        <v>4</v>
      </c>
      <c r="B8" s="5" t="inlineStr">
        <is>
          <t>x (1 + General Requirements 10%)</t>
        </is>
      </c>
      <c r="C8" s="6">
        <f>C7*1.10</f>
        <v/>
      </c>
      <c r="D8" s="5" t="inlineStr">
        <is>
          <t>FSRM program-directed; UFS 3-740-05</t>
        </is>
      </c>
    </row>
    <row r="9">
      <c r="A9" s="4" t="n">
        <v>5</v>
      </c>
      <c r="B9" s="5" t="inlineStr">
        <is>
          <t>x Cost Adjustment Factor (calibrated)</t>
        </is>
      </c>
      <c r="C9" s="6">
        <f>C8*PARAMETERS!B38</f>
        <v/>
      </c>
      <c r="D9" s="5" t="inlineStr">
        <is>
          <t>Calibrates ROM chain to locked TPC; absorbs base-cost adjustments</t>
        </is>
      </c>
    </row>
    <row r="10">
      <c r="A10" s="5" t="inlineStr"/>
      <c r="B10" s="7" t="inlineStr">
        <is>
          <t>ITEMS SUBTOTAL  (PAX Block 9 paste total)</t>
        </is>
      </c>
      <c r="C10" s="6">
        <f>C9</f>
        <v/>
      </c>
      <c r="D10" s="5" t="inlineStr">
        <is>
          <t>Calibrated to PAX rollup chain</t>
        </is>
      </c>
    </row>
    <row r="12">
      <c r="A12" s="2" t="inlineStr">
        <is>
          <t>B.  PAX ROLLUP VERIFICATION  (mirrors what PAX prints on the form; DB applied to items, not to TFC)</t>
        </is>
      </c>
    </row>
    <row r="13">
      <c r="A13" s="3" t="inlineStr">
        <is>
          <t>Step</t>
        </is>
      </c>
      <c r="B13" s="3" t="inlineStr">
        <is>
          <t>Element</t>
        </is>
      </c>
      <c r="C13" s="3" t="inlineStr">
        <is>
          <t>Amount ($)</t>
        </is>
      </c>
      <c r="D13" s="3" t="inlineStr">
        <is>
          <t>Formula / Source</t>
        </is>
      </c>
    </row>
    <row r="14">
      <c r="B14" s="8" t="inlineStr">
        <is>
          <t>Items Subtotal</t>
        </is>
      </c>
      <c r="C14" s="6">
        <f>C10</f>
        <v/>
      </c>
      <c r="D14" s="5" t="inlineStr">
        <is>
          <t>From Section A; pasted into PAX Block 9</t>
        </is>
      </c>
    </row>
    <row r="15">
      <c r="B15" s="8" t="inlineStr">
        <is>
          <t>+ Contingency (10.0%)  PAX-applied</t>
        </is>
      </c>
      <c r="C15" s="6">
        <f>ROUND(C10*0.10,0)</f>
        <v/>
      </c>
      <c r="D15" s="5" t="inlineStr">
        <is>
          <t>FSRM program-directed</t>
        </is>
      </c>
    </row>
    <row r="16">
      <c r="B16" s="8" t="inlineStr">
        <is>
          <t>Total Contract Cost (TCC)</t>
        </is>
      </c>
      <c r="C16" s="6">
        <f>ROUND(C10*1.10,0)</f>
        <v/>
      </c>
      <c r="D16" s="5" t="inlineStr">
        <is>
          <t>ROUND(items subtotal x 1.10)</t>
        </is>
      </c>
    </row>
    <row r="17">
      <c r="B17" s="8" t="inlineStr">
        <is>
          <t>+ SIOH (8.0%)  PAX-applied</t>
        </is>
      </c>
      <c r="C17" s="6">
        <f>ROUND(C16*0.08,0)</f>
        <v/>
      </c>
      <c r="D17" s="5" t="inlineStr">
        <is>
          <t>OCONUS FSRM customer-directed; ROUND(TCC x 0.08)</t>
        </is>
      </c>
    </row>
    <row r="18">
      <c r="B18" s="8" t="inlineStr">
        <is>
          <t>Total Funded Cost (TFC)</t>
        </is>
      </c>
      <c r="C18" s="6">
        <f>ROUND(C16*1.08,0)</f>
        <v/>
      </c>
      <c r="D18" s="5" t="inlineStr">
        <is>
          <t>ROUND(TCC x 1.08)</t>
        </is>
      </c>
    </row>
    <row r="19">
      <c r="B19" s="8" t="inlineStr">
        <is>
          <t>+ DB Design (4.0%)  PAX-applied</t>
        </is>
      </c>
      <c r="C19" s="6">
        <f>ROUND(C10*0.04,0)</f>
        <v/>
      </c>
      <c r="D19" s="5" t="inlineStr">
        <is>
          <t>UFC 3-730-01 (2024); PAX applies DB to items, not to TFC</t>
        </is>
      </c>
    </row>
    <row r="20">
      <c r="B20" s="8" t="inlineStr">
        <is>
          <t>TOTAL PROJECT COST</t>
        </is>
      </c>
      <c r="C20" s="6">
        <f>C18+C19</f>
        <v/>
      </c>
      <c r="D20" s="5" t="inlineStr">
        <is>
          <t>TFC + DB Design  (mirrors PAX Total Request)</t>
        </is>
      </c>
    </row>
    <row r="21">
      <c r="B21" s="8" t="inlineStr">
        <is>
          <t>TOTAL PROJECT COST ($000 rounded)</t>
        </is>
      </c>
      <c r="C21" s="6">
        <f>C20</f>
        <v/>
      </c>
      <c r="D21" s="5" t="inlineStr">
        <is>
          <t>Printed face value on DD Form 1391</t>
        </is>
      </c>
    </row>
    <row r="22">
      <c r="B22" s="8" t="inlineStr">
        <is>
          <t>Locked TPC ($000 rounded)</t>
        </is>
      </c>
      <c r="C22" s="6">
        <f>ROUND(PARAMETERS!B35/1000,0)</f>
        <v/>
      </c>
      <c r="D22" s="5" t="inlineStr">
        <is>
          <t>Reconciliation target</t>
        </is>
      </c>
    </row>
    <row r="23">
      <c r="B23" s="8" t="inlineStr">
        <is>
          <t>Reconciliation (must equal 0)</t>
        </is>
      </c>
      <c r="C23" s="9">
        <f>C21-C22</f>
        <v/>
      </c>
      <c r="D23" s="5" t="inlineStr">
        <is>
          <t>Printed minus Locked</t>
        </is>
      </c>
    </row>
    <row r="24">
      <c r="B24" s="8" t="inlineStr">
        <is>
          <t>Planning and Design (6.0%)  NON ADD</t>
        </is>
      </c>
      <c r="C24" s="6">
        <f>ROUND(C10*0.06,0)</f>
        <v/>
      </c>
      <c r="D24" s="5" t="inlineStr">
        <is>
          <t>Informational; does not roll into TPC</t>
        </is>
      </c>
    </row>
    <row r="26">
      <c r="A26" s="2" t="inlineStr">
        <is>
          <t>C.  UNIFORMAT II LV2 SUMMARY  (Base Direct pre-ACF, by category)</t>
        </is>
      </c>
    </row>
    <row r="27">
      <c r="A27" s="3" t="inlineStr">
        <is>
          <t>Code</t>
        </is>
      </c>
      <c r="B27" s="3" t="inlineStr">
        <is>
          <t>Category</t>
        </is>
      </c>
      <c r="C27" s="3" t="inlineStr">
        <is>
          <t>Base Direct ($)</t>
        </is>
      </c>
      <c r="D27" s="3" t="inlineStr">
        <is>
          <t>Description</t>
        </is>
      </c>
    </row>
    <row r="28">
      <c r="A28" s="10" t="inlineStr">
        <is>
          <t>B20</t>
        </is>
      </c>
      <c r="B28" s="5" t="inlineStr">
        <is>
          <t>Exterior Enclosure</t>
        </is>
      </c>
      <c r="C28" s="6">
        <f>SUMIF(SCOPE_DETAIL!H:H,"B20",SCOPE_DETAIL!G:G)</f>
        <v/>
      </c>
      <c r="D28" s="5" t="inlineStr">
        <is>
          <t>2 scope item(s)</t>
        </is>
      </c>
    </row>
    <row r="29">
      <c r="A29" s="10" t="inlineStr">
        <is>
          <t>C10</t>
        </is>
      </c>
      <c r="B29" s="5" t="inlineStr">
        <is>
          <t>Interior Construction</t>
        </is>
      </c>
      <c r="C29" s="6">
        <f>SUMIF(SCOPE_DETAIL!H:H,"C10",SCOPE_DETAIL!G:G)</f>
        <v/>
      </c>
      <c r="D29" s="5" t="inlineStr">
        <is>
          <t>32 scope item(s)</t>
        </is>
      </c>
    </row>
    <row r="30">
      <c r="A30" s="10" t="inlineStr">
        <is>
          <t>D20</t>
        </is>
      </c>
      <c r="B30" s="5" t="inlineStr">
        <is>
          <t>Plumbing</t>
        </is>
      </c>
      <c r="C30" s="6">
        <f>SUMIF(SCOPE_DETAIL!H:H,"D20",SCOPE_DETAIL!G:G)</f>
        <v/>
      </c>
      <c r="D30" s="5" t="inlineStr">
        <is>
          <t>9 scope item(s)</t>
        </is>
      </c>
    </row>
    <row r="31">
      <c r="A31" s="10" t="inlineStr">
        <is>
          <t>D30</t>
        </is>
      </c>
      <c r="B31" s="5" t="inlineStr">
        <is>
          <t>HVAC / Mechanical</t>
        </is>
      </c>
      <c r="C31" s="6">
        <f>SUMIF(SCOPE_DETAIL!H:H,"D30",SCOPE_DETAIL!G:G)</f>
        <v/>
      </c>
      <c r="D31" s="5" t="inlineStr">
        <is>
          <t>14 scope item(s)</t>
        </is>
      </c>
    </row>
    <row r="32">
      <c r="A32" s="10" t="inlineStr">
        <is>
          <t>D50</t>
        </is>
      </c>
      <c r="B32" s="5" t="inlineStr">
        <is>
          <t>Electrical / Communications</t>
        </is>
      </c>
      <c r="C32" s="6">
        <f>SUMIF(SCOPE_DETAIL!H:H,"D50",SCOPE_DETAIL!G:G)</f>
        <v/>
      </c>
      <c r="D32" s="5" t="inlineStr">
        <is>
          <t>11 scope item(s)</t>
        </is>
      </c>
    </row>
    <row r="33">
      <c r="A33" s="10" t="inlineStr">
        <is>
          <t>F10</t>
        </is>
      </c>
      <c r="B33" s="5" t="inlineStr">
        <is>
          <t>Hazardous Material Abatement</t>
        </is>
      </c>
      <c r="C33" s="6">
        <f>SUMIF(SCOPE_DETAIL!H:H,"F10",SCOPE_DETAIL!G:G)</f>
        <v/>
      </c>
      <c r="D33" s="5" t="inlineStr">
        <is>
          <t>5 scope item(s)</t>
        </is>
      </c>
    </row>
    <row r="34">
      <c r="A34" s="5" t="inlineStr"/>
      <c r="B34" s="7" t="inlineStr">
        <is>
          <t>TOTAL BASE DIRECT (must equal Section A row 5)</t>
        </is>
      </c>
      <c r="C34" s="6">
        <f>SUM(C28:C33)</f>
        <v/>
      </c>
    </row>
    <row r="36">
      <c r="A36" s="2" t="inlineStr">
        <is>
          <t>D.  METHODOLOGY</t>
        </is>
      </c>
    </row>
    <row r="37" ht="18" customHeight="1">
      <c r="A37" s="8" t="inlineStr">
        <is>
          <t>Estimate Level</t>
        </is>
      </c>
      <c r="B37" s="5" t="inlineStr">
        <is>
          <t>Level 3 ROM per UFS 3-740-05 (02 Feb 2026). Non-mandatory supplement; for information only.</t>
        </is>
      </c>
    </row>
    <row r="38" ht="18" customHeight="1">
      <c r="A38" s="8" t="inlineStr">
        <is>
          <t>Scope Basis</t>
        </is>
      </c>
      <c r="B38" s="5" t="inlineStr">
        <is>
          <t>73 discrete work items across 6 UNIFORMAT II Lv2 categories. Quantities and unit costs derived from site survey and AS-BUILT drawings.</t>
        </is>
      </c>
    </row>
    <row r="39" ht="18" customHeight="1">
      <c r="A39" s="8" t="inlineStr">
        <is>
          <t>Area Cost Factor</t>
        </is>
      </c>
      <c r="B39" s="5" t="inlineStr">
        <is>
          <t>1.85; Camp Schwab Okinawa Japan; UFC 3-701-01 w/Ch 7 (25 Jul 2025), Table 4-1 OCONUS, M67400-0004.</t>
        </is>
      </c>
    </row>
    <row r="40" ht="18" customHeight="1">
      <c r="A40" s="8" t="inlineStr">
        <is>
          <t>Escalation</t>
        </is>
      </c>
      <c r="B40" s="5" t="inlineStr">
        <is>
          <t>2.1%/yr; OSD FY25 published rate, client-confirmed; FY24 base to FY27 target; compound factor (1.021)^3 = 1.0643.</t>
        </is>
      </c>
    </row>
    <row r="41" ht="18" customHeight="1">
      <c r="A41" s="8" t="inlineStr">
        <is>
          <t>General Requirements</t>
        </is>
      </c>
      <c r="B41" s="5" t="inlineStr">
        <is>
          <t>10.0%; FSRM program-directed; UFS 3-740-05.</t>
        </is>
      </c>
    </row>
    <row r="42" ht="18" customHeight="1">
      <c r="A42" s="8" t="inlineStr">
        <is>
          <t>PAX Associated Costs</t>
        </is>
      </c>
      <c r="B42" s="5" t="inlineStr">
        <is>
          <t>Contingency 10%, SIOH 8% (OCONUS FSRM customer-directed), DB Design 4%; combined multiplier 1.23552. Planning and Design 6% NON ADD; informational only.</t>
        </is>
      </c>
    </row>
    <row r="43" ht="18" customHeight="1">
      <c r="A43" s="8" t="inlineStr">
        <is>
          <t>Cost Adjustment Factor</t>
        </is>
      </c>
      <c r="B43" s="5" t="inlineStr">
        <is>
          <t>Live formula in PARAMETERS reconciles the ROM chain to the locked Total Project Cost. The factor absorbs base-cost adjustments distributed pro-rata across discipline rollups.</t>
        </is>
      </c>
    </row>
    <row r="44" ht="18" customHeight="1">
      <c r="A44" s="8" t="inlineStr">
        <is>
          <t>Unit Cost Basis</t>
        </is>
      </c>
      <c r="B44" s="5" t="inlineStr">
        <is>
          <t>FY24 CONUS pre-ACF assembly-level unit costs per RS Means; UFC 3-410-01 / 3-420-01 / 3-520-01 / 3-530-01 / 3-580-01 as applicable.</t>
        </is>
      </c>
    </row>
    <row r="45" ht="18" customHeight="1">
      <c r="A45" s="8" t="inlineStr">
        <is>
          <t>Items Requiring Verification</t>
        </is>
      </c>
      <c r="B45" s="5" t="inlineStr">
        <is>
          <t>JPY/USD exchange rate per Federal Reserve H.10 on date of PAX submission.</t>
        </is>
      </c>
    </row>
    <row r="46" ht="18" customHeight="1">
      <c r="A46" s="8" t="inlineStr">
        <is>
          <t>Prepared By</t>
        </is>
      </c>
      <c r="B46" s="5" t="inlineStr">
        <is>
          <t>Anthony L. Potter  |  Facilities Planner  |  MCIPAC G-F PPE  |  29 Apr 2026</t>
        </is>
      </c>
    </row>
    <row r="48">
      <c r="A48" s="2" t="inlineStr">
        <is>
          <t>E.  VERSION HISTORY</t>
        </is>
      </c>
    </row>
    <row r="49">
      <c r="A49" s="3" t="inlineStr">
        <is>
          <t>Version</t>
        </is>
      </c>
      <c r="B49" s="3" t="inlineStr">
        <is>
          <t>Date</t>
        </is>
      </c>
      <c r="C49" s="3" t="inlineStr">
        <is>
          <t>Total Project Cost ($)</t>
        </is>
      </c>
      <c r="D49" s="3" t="inlineStr">
        <is>
          <t>Notes</t>
        </is>
      </c>
    </row>
    <row r="50">
      <c r="A50" s="10" t="inlineStr">
        <is>
          <t>Current</t>
        </is>
      </c>
      <c r="B50" s="4" t="inlineStr">
        <is>
          <t>29 Apr 2026</t>
        </is>
      </c>
      <c r="C50" s="6">
        <f>C20</f>
        <v/>
      </c>
      <c r="D50" s="5" t="inlineStr">
        <is>
          <t>4-tab discipline-rollup architecture; PAX-pasteable Block 9; reconciles to locked TPC</t>
        </is>
      </c>
    </row>
  </sheetData>
  <mergeCells count="16">
    <mergeCell ref="A1:D1"/>
    <mergeCell ref="B42:D42"/>
    <mergeCell ref="B37:D37"/>
    <mergeCell ref="B45:D45"/>
    <mergeCell ref="B46:D46"/>
    <mergeCell ref="A12:D12"/>
    <mergeCell ref="B41:D41"/>
    <mergeCell ref="A48:D48"/>
    <mergeCell ref="A26:D26"/>
    <mergeCell ref="A3:D3"/>
    <mergeCell ref="B40:D40"/>
    <mergeCell ref="B44:D44"/>
    <mergeCell ref="B43:D43"/>
    <mergeCell ref="B39:D39"/>
    <mergeCell ref="B38:D38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70" customWidth="1" min="3" max="3"/>
    <col width="8" customWidth="1" min="4" max="4"/>
    <col width="8" customWidth="1" min="5" max="5"/>
    <col width="12" customWidth="1" min="6" max="6"/>
    <col width="14" customWidth="1" min="7" max="7"/>
    <col width="11" customWidth="1" min="8" max="8"/>
    <col width="50" customWidth="1" min="9" max="9"/>
  </cols>
  <sheetData>
    <row r="1" ht="24" customHeight="1">
      <c r="A1" s="1" t="inlineStr">
        <is>
          <t>SCH-3213  |  SCOPE DETAIL &amp; QUANTITY TAKEOFF  |  BASE YEAR FY24 CONUS DIRECT COSTS  |  Fi Web BU26PPE72M</t>
        </is>
      </c>
    </row>
    <row r="2">
      <c r="A2" s="11" t="inlineStr">
        <is>
          <t>Yellow = confirmed scope. White = formula-driven extended cost. All unit costs are FY24 CONUS pre-ACF, assembly-level RS Means basis.</t>
        </is>
      </c>
    </row>
    <row r="3" ht="30" customHeight="1">
      <c r="A3" s="3" t="inlineStr">
        <is>
          <t>Item</t>
        </is>
      </c>
      <c r="B3" s="3" t="inlineStr">
        <is>
          <t>Group</t>
        </is>
      </c>
      <c r="C3" s="3" t="inlineStr">
        <is>
          <t>Work Description</t>
        </is>
      </c>
      <c r="D3" s="3" t="inlineStr">
        <is>
          <t>Qty</t>
        </is>
      </c>
      <c r="E3" s="3" t="inlineStr">
        <is>
          <t>Unit</t>
        </is>
      </c>
      <c r="F3" s="3" t="inlineStr">
        <is>
          <t>Unit Cost
(FY24 CONUS)</t>
        </is>
      </c>
      <c r="G3" s="3" t="inlineStr">
        <is>
          <t>Extended
Cost</t>
        </is>
      </c>
      <c r="H3" s="3" t="inlineStr">
        <is>
          <t>UNIFORMAT
II Lv2</t>
        </is>
      </c>
      <c r="I3" s="3" t="inlineStr">
        <is>
          <t>Cost Basis / Notes</t>
        </is>
      </c>
    </row>
    <row r="4" ht="18" customHeight="1">
      <c r="A4" s="12" t="inlineStr">
        <is>
          <t>1.  TELECOM INFRASTRUCTURE MODERNIZATION</t>
        </is>
      </c>
    </row>
    <row r="5">
      <c r="A5" s="4" t="n">
        <v>1</v>
      </c>
      <c r="B5" s="4" t="inlineStr">
        <is>
          <t>Telecom</t>
        </is>
      </c>
      <c r="C5" s="5" t="inlineStr">
        <is>
          <t>Demo existing telecom equipment, racks, cabling, and legacy infrastructure in telecom room</t>
        </is>
      </c>
      <c r="D5" s="13" t="n">
        <v>1</v>
      </c>
      <c r="E5" s="4" t="inlineStr">
        <is>
          <t>LS</t>
        </is>
      </c>
      <c r="F5" s="14" t="n">
        <v>12000</v>
      </c>
      <c r="G5" s="15">
        <f>D5*F5</f>
        <v/>
      </c>
      <c r="H5" s="10" t="inlineStr">
        <is>
          <t>D50</t>
        </is>
      </c>
      <c r="I5" s="5" t="inlineStr">
        <is>
          <t>RS Means FY24 CONUS: Equipment and cable demolition, telecom room. RSM 28 05 05.</t>
        </is>
      </c>
    </row>
    <row r="6">
      <c r="A6" s="4" t="n">
        <v>2</v>
      </c>
      <c r="B6" s="4" t="inlineStr">
        <is>
          <t>Telecom</t>
        </is>
      </c>
      <c r="C6" s="5" t="inlineStr">
        <is>
          <t>Construct new telecom room - equipment racks, UPS, patch panels, grounding bus bar, EPO, fire suppression, HVAC, raised floor</t>
        </is>
      </c>
      <c r="D6" s="13" t="n">
        <v>1</v>
      </c>
      <c r="E6" s="4" t="inlineStr">
        <is>
          <t>LS</t>
        </is>
      </c>
      <c r="F6" s="14" t="n">
        <v>65000</v>
      </c>
      <c r="G6" s="15">
        <f>D6*F6</f>
        <v/>
      </c>
      <c r="H6" s="10" t="inlineStr">
        <is>
          <t>D50</t>
        </is>
      </c>
      <c r="I6" s="5" t="inlineStr">
        <is>
          <t>RS Means FY24 CONUS: Telecom room build-out, commercial, complete. RSM 28 05 13.</t>
        </is>
      </c>
    </row>
    <row r="7">
      <c r="A7" s="4" t="n">
        <v>3</v>
      </c>
      <c r="B7" s="4" t="inlineStr">
        <is>
          <t>Telecom</t>
        </is>
      </c>
      <c r="C7" s="5" t="inlineStr">
        <is>
          <t>Install OSP fiber optic cable from base telecom demarcation point to building telecom room</t>
        </is>
      </c>
      <c r="D7" s="13" t="n">
        <v>1</v>
      </c>
      <c r="E7" s="4" t="inlineStr">
        <is>
          <t>LS</t>
        </is>
      </c>
      <c r="F7" s="14" t="n">
        <v>15000</v>
      </c>
      <c r="G7" s="15">
        <f>D7*F7</f>
        <v/>
      </c>
      <c r="H7" s="10" t="inlineStr">
        <is>
          <t>D50</t>
        </is>
      </c>
      <c r="I7" s="5" t="inlineStr">
        <is>
          <t>RS Means FY24 CONUS: OSP fiber, includes conduit, pull boxes, termination. RSM 27 13 23.</t>
        </is>
      </c>
    </row>
    <row r="8">
      <c r="A8" s="4" t="n">
        <v>4</v>
      </c>
      <c r="B8" s="4" t="inlineStr">
        <is>
          <t>Telecom</t>
        </is>
      </c>
      <c r="C8" s="5" t="inlineStr">
        <is>
          <t>Install ISP horizontal cabling - Cat6A to all converted office and work spaces (30 drops)</t>
        </is>
      </c>
      <c r="D8" s="13" t="n">
        <v>30</v>
      </c>
      <c r="E8" s="4" t="inlineStr">
        <is>
          <t>EA</t>
        </is>
      </c>
      <c r="F8" s="14" t="n">
        <v>1200</v>
      </c>
      <c r="G8" s="15">
        <f>D8*F8</f>
        <v/>
      </c>
      <c r="H8" s="10" t="inlineStr">
        <is>
          <t>D50</t>
        </is>
      </c>
      <c r="I8" s="5" t="inlineStr">
        <is>
          <t>RS Means FY24 CONUS: Cat6A horizontal cable, pull, terminate, test, 90 LF avg run. RSM 27 15 43.</t>
        </is>
      </c>
    </row>
    <row r="9">
      <c r="A9" s="4" t="n">
        <v>5</v>
      </c>
      <c r="B9" s="4" t="inlineStr">
        <is>
          <t>Telecom</t>
        </is>
      </c>
      <c r="C9" s="5" t="inlineStr">
        <is>
          <t>Install new work area outlets (WAOs) - quad WAO in all converted office spaces (24 EA)</t>
        </is>
      </c>
      <c r="D9" s="13" t="n">
        <v>24</v>
      </c>
      <c r="E9" s="4" t="inlineStr">
        <is>
          <t>EA</t>
        </is>
      </c>
      <c r="F9" s="14" t="n">
        <v>1000</v>
      </c>
      <c r="G9" s="15">
        <f>D9*F9</f>
        <v/>
      </c>
      <c r="H9" s="10" t="inlineStr">
        <is>
          <t>D50</t>
        </is>
      </c>
      <c r="I9" s="5" t="inlineStr">
        <is>
          <t>RS Means FY24 CONUS: Quad data outlet, flush mounted, complete. RSM 27 15 43.</t>
        </is>
      </c>
    </row>
    <row r="10">
      <c r="A10" s="4" t="n">
        <v>6</v>
      </c>
      <c r="B10" s="4" t="inlineStr">
        <is>
          <t>Telecom</t>
        </is>
      </c>
      <c r="C10" s="5" t="inlineStr">
        <is>
          <t>Building grounding system verification and upgrade for telecom modernization per TIA-607-C</t>
        </is>
      </c>
      <c r="D10" s="13" t="n">
        <v>1</v>
      </c>
      <c r="E10" s="4" t="inlineStr">
        <is>
          <t>LS</t>
        </is>
      </c>
      <c r="F10" s="14" t="n">
        <v>8000</v>
      </c>
      <c r="G10" s="15">
        <f>D10*F10</f>
        <v/>
      </c>
      <c r="H10" s="10" t="inlineStr">
        <is>
          <t>D50</t>
        </is>
      </c>
      <c r="I10" s="5" t="inlineStr">
        <is>
          <t>RS Means FY24 CONUS: Telecom grounding, commercial building, per TIA-607-C. RSM 26 05 26.</t>
        </is>
      </c>
    </row>
    <row r="11" ht="18" customHeight="1">
      <c r="A11" s="12" t="inlineStr">
        <is>
          <t>2.  S-2 VAULT CONSTRUCTION - TWO VAULT SPACES</t>
        </is>
      </c>
    </row>
    <row r="12">
      <c r="A12" s="4" t="n">
        <v>7</v>
      </c>
      <c r="B12" s="4" t="inlineStr">
        <is>
          <t>S-2 Vault</t>
        </is>
      </c>
      <c r="C12" s="5" t="inlineStr">
        <is>
          <t>New reinforced vault walls with structural supports - CMU or CIP concrete, 2 EA (one per vault space)</t>
        </is>
      </c>
      <c r="D12" s="13" t="n">
        <v>2</v>
      </c>
      <c r="E12" s="4" t="inlineStr">
        <is>
          <t>EA</t>
        </is>
      </c>
      <c r="F12" s="14" t="n">
        <v>28000</v>
      </c>
      <c r="G12" s="15">
        <f>D12*F12</f>
        <v/>
      </c>
      <c r="H12" s="10" t="inlineStr">
        <is>
          <t>C10</t>
        </is>
      </c>
      <c r="I12" s="5" t="inlineStr">
        <is>
          <t>RS Means FY24 CONUS: CMU reinforced vault wall, 8-in block, grouted solid. RSM 04 22 00.</t>
        </is>
      </c>
    </row>
    <row r="13">
      <c r="A13" s="4" t="n">
        <v>8</v>
      </c>
      <c r="B13" s="4" t="inlineStr">
        <is>
          <t>S-2 Vault</t>
        </is>
      </c>
      <c r="C13" s="5" t="inlineStr">
        <is>
          <t>GSA Class V vault door, frame, flange set, hardware, certified installation, prorated air freight - 2 EA per MCO 5530.14A + UFC 4-010-05</t>
        </is>
      </c>
      <c r="D13" s="13" t="n">
        <v>2</v>
      </c>
      <c r="E13" s="4" t="inlineStr">
        <is>
          <t>EA</t>
        </is>
      </c>
      <c r="F13" s="14" t="n">
        <v>14599</v>
      </c>
      <c r="G13" s="15">
        <f>D13*F13</f>
        <v/>
      </c>
      <c r="H13" s="10" t="inlineStr">
        <is>
          <t>C10</t>
        </is>
      </c>
      <c r="I13" s="5" t="inlineStr">
        <is>
          <t>Direct procurement: Hamilton CI-5 Class V vault door, TQL Global shipment, all-in unit cost confirmed.</t>
        </is>
      </c>
    </row>
    <row r="14">
      <c r="A14" s="4" t="n">
        <v>9</v>
      </c>
      <c r="B14" s="4" t="inlineStr">
        <is>
          <t>S-2 Vault</t>
        </is>
      </c>
      <c r="C14" s="5" t="inlineStr">
        <is>
          <t>IDS sensor installation - 2 vault spaces: PIR, magnetic door contact, keypad per vault, ESAMS compliant</t>
        </is>
      </c>
      <c r="D14" s="13" t="n">
        <v>2</v>
      </c>
      <c r="E14" s="4" t="inlineStr">
        <is>
          <t>EA</t>
        </is>
      </c>
      <c r="F14" s="14" t="n">
        <v>8000</v>
      </c>
      <c r="G14" s="15">
        <f>D14*F14</f>
        <v/>
      </c>
      <c r="H14" s="10" t="inlineStr">
        <is>
          <t>C10</t>
        </is>
      </c>
      <c r="I14" s="5" t="inlineStr">
        <is>
          <t>RS Means FY24 CONUS: IDS zone sensor package, vault, 2-zone config. RSM 28 16 16.</t>
        </is>
      </c>
    </row>
    <row r="15">
      <c r="A15" s="4" t="n">
        <v>10</v>
      </c>
      <c r="B15" s="4" t="inlineStr">
        <is>
          <t>S-2 Vault</t>
        </is>
      </c>
      <c r="C15" s="5" t="inlineStr">
        <is>
          <t>Vault electrical - LED lighting, outlets, emergency egress lighting per vault space, 2 EA</t>
        </is>
      </c>
      <c r="D15" s="13" t="n">
        <v>2</v>
      </c>
      <c r="E15" s="4" t="inlineStr">
        <is>
          <t>EA</t>
        </is>
      </c>
      <c r="F15" s="14" t="n">
        <v>6000</v>
      </c>
      <c r="G15" s="15">
        <f>D15*F15</f>
        <v/>
      </c>
      <c r="H15" s="10" t="inlineStr">
        <is>
          <t>C10</t>
        </is>
      </c>
      <c r="I15" s="5" t="inlineStr">
        <is>
          <t>RS Means FY24 CONUS: Vault electrical package, lighting and power, per space. RSM 26 05 19.</t>
        </is>
      </c>
    </row>
    <row r="16">
      <c r="A16" s="4" t="n">
        <v>11</v>
      </c>
      <c r="B16" s="4" t="inlineStr">
        <is>
          <t>S-2 Vault</t>
        </is>
      </c>
      <c r="C16" s="5" t="inlineStr">
        <is>
          <t>Dedicated vault ventilation - supply/exhaust isolation with damper per GSA Class V vault requirements, 2 EA</t>
        </is>
      </c>
      <c r="D16" s="13" t="n">
        <v>2</v>
      </c>
      <c r="E16" s="4" t="inlineStr">
        <is>
          <t>EA</t>
        </is>
      </c>
      <c r="F16" s="14" t="n">
        <v>12000</v>
      </c>
      <c r="G16" s="15">
        <f>D16*F16</f>
        <v/>
      </c>
      <c r="H16" s="10" t="inlineStr">
        <is>
          <t>C10</t>
        </is>
      </c>
      <c r="I16" s="5" t="inlineStr">
        <is>
          <t>RS Means FY24 CONUS: Vault HVAC isolation, supply/exhaust with fire/smoke damper, per vault. RSM 23 33 00.</t>
        </is>
      </c>
    </row>
    <row r="17">
      <c r="A17" s="4" t="n">
        <v>12</v>
      </c>
      <c r="B17" s="4" t="inlineStr">
        <is>
          <t>S-2 Vault</t>
        </is>
      </c>
      <c r="C17" s="5" t="inlineStr">
        <is>
          <t>Vault interior finishes - VCT flooring, interior paint, base molding, 2 EA (one per vault space)</t>
        </is>
      </c>
      <c r="D17" s="13" t="n">
        <v>2</v>
      </c>
      <c r="E17" s="4" t="inlineStr">
        <is>
          <t>EA</t>
        </is>
      </c>
      <c r="F17" s="14" t="n">
        <v>3000</v>
      </c>
      <c r="G17" s="15">
        <f>D17*F17</f>
        <v/>
      </c>
      <c r="H17" s="10" t="inlineStr">
        <is>
          <t>C10</t>
        </is>
      </c>
      <c r="I17" s="5" t="inlineStr">
        <is>
          <t>RS Means FY24 CONUS: VCT flooring and interior paint, per room, commercial. RSM 09 65 13.</t>
        </is>
      </c>
    </row>
    <row r="18" ht="18" customHeight="1">
      <c r="A18" s="12" t="inlineStr">
        <is>
          <t>3.  SIPR NETWORK RACK INSTALLATION</t>
        </is>
      </c>
    </row>
    <row r="19">
      <c r="A19" s="4" t="n">
        <v>13</v>
      </c>
      <c r="B19" s="4" t="inlineStr">
        <is>
          <t>SIPR</t>
        </is>
      </c>
      <c r="C19" s="5" t="inlineStr">
        <is>
          <t>Lockable wall-mount SIPR enclosure/rack with backboard and grounding bus bar - CNSSAM TEMPEST/01-13 compliant</t>
        </is>
      </c>
      <c r="D19" s="13" t="n">
        <v>1</v>
      </c>
      <c r="E19" s="4" t="inlineStr">
        <is>
          <t>LS</t>
        </is>
      </c>
      <c r="F19" s="14" t="n">
        <v>25000</v>
      </c>
      <c r="G19" s="15">
        <f>D19*F19</f>
        <v/>
      </c>
      <c r="H19" s="10" t="inlineStr">
        <is>
          <t>D50</t>
        </is>
      </c>
      <c r="I19" s="5" t="inlineStr">
        <is>
          <t>RS Means FY24 CONUS: SIPR-capable wall rack enclosure, lockable, with grounding, TEMPEST compliant. RSM 27 11 13.</t>
        </is>
      </c>
    </row>
    <row r="20">
      <c r="A20" s="4" t="n">
        <v>14</v>
      </c>
      <c r="B20" s="4" t="inlineStr">
        <is>
          <t>SIPR</t>
        </is>
      </c>
      <c r="C20" s="5" t="inlineStr">
        <is>
          <t>Fiber optic cable from telecom room to SIPR rack location - single-mode, conduit, termination</t>
        </is>
      </c>
      <c r="D20" s="13" t="n">
        <v>1</v>
      </c>
      <c r="E20" s="4" t="inlineStr">
        <is>
          <t>LS</t>
        </is>
      </c>
      <c r="F20" s="14" t="n">
        <v>8000</v>
      </c>
      <c r="G20" s="15">
        <f>D20*F20</f>
        <v/>
      </c>
      <c r="H20" s="10" t="inlineStr">
        <is>
          <t>D50</t>
        </is>
      </c>
      <c r="I20" s="5" t="inlineStr">
        <is>
          <t>RS Means FY24 CONUS: Single-mode fiber in conduit, terminate both ends. RSM 27 13 23.</t>
        </is>
      </c>
    </row>
    <row r="21">
      <c r="A21" s="4" t="n">
        <v>15</v>
      </c>
      <c r="B21" s="4" t="inlineStr">
        <is>
          <t>SIPR</t>
        </is>
      </c>
      <c r="C21" s="5" t="inlineStr">
        <is>
          <t>SIPR-capable work area outlets (WAOs) - 6 EA at SIPR workstations</t>
        </is>
      </c>
      <c r="D21" s="13" t="n">
        <v>6</v>
      </c>
      <c r="E21" s="4" t="inlineStr">
        <is>
          <t>EA</t>
        </is>
      </c>
      <c r="F21" s="14" t="n">
        <v>1000</v>
      </c>
      <c r="G21" s="15">
        <f>D21*F21</f>
        <v/>
      </c>
      <c r="H21" s="10" t="inlineStr">
        <is>
          <t>D50</t>
        </is>
      </c>
      <c r="I21" s="5" t="inlineStr">
        <is>
          <t>RS Means FY24 CONUS: Data outlet, quad, flush mounted, complete. RSM 27 15 43.</t>
        </is>
      </c>
    </row>
    <row r="22">
      <c r="A22" s="4" t="n">
        <v>16</v>
      </c>
      <c r="B22" s="4" t="inlineStr">
        <is>
          <t>SIPR</t>
        </is>
      </c>
      <c r="C22" s="5" t="inlineStr">
        <is>
          <t>Conduit and cable management infrastructure for SIPR runs - dedicated conduit, cable tray, hardware</t>
        </is>
      </c>
      <c r="D22" s="13" t="n">
        <v>1</v>
      </c>
      <c r="E22" s="4" t="inlineStr">
        <is>
          <t>LS</t>
        </is>
      </c>
      <c r="F22" s="14" t="n">
        <v>6000</v>
      </c>
      <c r="G22" s="15">
        <f>D22*F22</f>
        <v/>
      </c>
      <c r="H22" s="10" t="inlineStr">
        <is>
          <t>D50</t>
        </is>
      </c>
      <c r="I22" s="5" t="inlineStr">
        <is>
          <t>RS Means FY24 CONUS: Conduit and cable tray, SIPR zone separation, complete. RSM 26 05 33.</t>
        </is>
      </c>
    </row>
    <row r="23" ht="18" customHeight="1">
      <c r="A23" s="12" t="inlineStr">
        <is>
          <t>4.  PATHWAY - BN CONFERENCE ROOM TO S-2 VAULT</t>
        </is>
      </c>
    </row>
    <row r="24">
      <c r="A24" s="4" t="n">
        <v>17</v>
      </c>
      <c r="B24" s="4" t="inlineStr">
        <is>
          <t>Pathway</t>
        </is>
      </c>
      <c r="C24" s="5" t="inlineStr">
        <is>
          <t>New door opening in existing wall - saw cut, structural header, threshold plate for vault access pathway</t>
        </is>
      </c>
      <c r="D24" s="13" t="n">
        <v>1</v>
      </c>
      <c r="E24" s="4" t="inlineStr">
        <is>
          <t>EA</t>
        </is>
      </c>
      <c r="F24" s="14" t="n">
        <v>5000</v>
      </c>
      <c r="G24" s="15">
        <f>D24*F24</f>
        <v/>
      </c>
      <c r="H24" s="10" t="inlineStr">
        <is>
          <t>C10</t>
        </is>
      </c>
      <c r="I24" s="5" t="inlineStr">
        <is>
          <t>RS Means FY24 CONUS: Saw cut opening in CMU/concrete wall, structural header, complete. RSM 03 30 00.</t>
        </is>
      </c>
    </row>
    <row r="25">
      <c r="A25" s="4" t="n">
        <v>18</v>
      </c>
      <c r="B25" s="4" t="inlineStr">
        <is>
          <t>Pathway</t>
        </is>
      </c>
      <c r="C25" s="5" t="inlineStr">
        <is>
          <t>New security-rated door/frame/hardware for vault access pathway between Bn Conference Room and S-2 vault</t>
        </is>
      </c>
      <c r="D25" s="13" t="n">
        <v>1</v>
      </c>
      <c r="E25" s="4" t="inlineStr">
        <is>
          <t>EA</t>
        </is>
      </c>
      <c r="F25" s="14" t="n">
        <v>3500</v>
      </c>
      <c r="G25" s="15">
        <f>D25*F25</f>
        <v/>
      </c>
      <c r="H25" s="10" t="inlineStr">
        <is>
          <t>C10</t>
        </is>
      </c>
      <c r="I25" s="5" t="inlineStr">
        <is>
          <t>RS Means FY24 CONUS: HM door 3x7, frame, lever hardware, complete. RSM 08 11 13.</t>
        </is>
      </c>
    </row>
    <row r="26">
      <c r="A26" s="4" t="n">
        <v>19</v>
      </c>
      <c r="B26" s="4" t="inlineStr">
        <is>
          <t>Pathway</t>
        </is>
      </c>
      <c r="C26" s="5" t="inlineStr">
        <is>
          <t>New partition walls to define pathway corridor between Bn Conference Room and S-2 vault</t>
        </is>
      </c>
      <c r="D26" s="13" t="n">
        <v>1</v>
      </c>
      <c r="E26" s="4" t="inlineStr">
        <is>
          <t>LS</t>
        </is>
      </c>
      <c r="F26" s="14" t="n">
        <v>8000</v>
      </c>
      <c r="G26" s="15">
        <f>D26*F26</f>
        <v/>
      </c>
      <c r="H26" s="10" t="inlineStr">
        <is>
          <t>C10</t>
        </is>
      </c>
      <c r="I26" s="5" t="inlineStr">
        <is>
          <t>RS Means FY24 CONUS: GWB stud partition, 3-5/8-in metal stud, 10-ft height, complete. RSM 09 29 00.</t>
        </is>
      </c>
    </row>
    <row r="27">
      <c r="A27" s="4" t="n">
        <v>20</v>
      </c>
      <c r="B27" s="4" t="inlineStr">
        <is>
          <t>Pathway</t>
        </is>
      </c>
      <c r="C27" s="5" t="inlineStr">
        <is>
          <t>Pathway finishes - VCT flooring, interior paint, base molding</t>
        </is>
      </c>
      <c r="D27" s="13" t="n">
        <v>1</v>
      </c>
      <c r="E27" s="4" t="inlineStr">
        <is>
          <t>LS</t>
        </is>
      </c>
      <c r="F27" s="14" t="n">
        <v>2500</v>
      </c>
      <c r="G27" s="15">
        <f>D27*F27</f>
        <v/>
      </c>
      <c r="H27" s="10" t="inlineStr">
        <is>
          <t>C10</t>
        </is>
      </c>
      <c r="I27" s="5" t="inlineStr">
        <is>
          <t>RS Means FY24 CONUS: VCT and interior paint, corridor, commercial grade. RSM 09 65 13.</t>
        </is>
      </c>
    </row>
    <row r="28">
      <c r="A28" s="4" t="n">
        <v>21</v>
      </c>
      <c r="B28" s="4" t="inlineStr">
        <is>
          <t>Pathway</t>
        </is>
      </c>
      <c r="C28" s="5" t="inlineStr">
        <is>
          <t>Fire alarm devices in new pathway/corridor - smoke detector and horn/strobe notification device per NFPA 72</t>
        </is>
      </c>
      <c r="D28" s="13" t="n">
        <v>1</v>
      </c>
      <c r="E28" s="4" t="inlineStr">
        <is>
          <t>LS</t>
        </is>
      </c>
      <c r="F28" s="14" t="n">
        <v>2200</v>
      </c>
      <c r="G28" s="15">
        <f>D28*F28</f>
        <v/>
      </c>
      <c r="H28" s="10" t="inlineStr">
        <is>
          <t>C10</t>
        </is>
      </c>
      <c r="I28" s="5" t="inlineStr">
        <is>
          <t>RS Means FY24 CONUS: Smoke detector and notification appliance, addressable, complete. RSM 28 31 11.</t>
        </is>
      </c>
    </row>
    <row r="29">
      <c r="A29" s="4" t="n">
        <v>22</v>
      </c>
      <c r="B29" s="4" t="inlineStr">
        <is>
          <t>Pathway</t>
        </is>
      </c>
      <c r="C29" s="5" t="inlineStr">
        <is>
          <t>Exit sign addition/relocation for new egress path through corridor per NFPA 101 / IBC Chapter 10</t>
        </is>
      </c>
      <c r="D29" s="13" t="n">
        <v>1</v>
      </c>
      <c r="E29" s="4" t="inlineStr">
        <is>
          <t>EA</t>
        </is>
      </c>
      <c r="F29" s="14" t="n">
        <v>500</v>
      </c>
      <c r="G29" s="15">
        <f>D29*F29</f>
        <v/>
      </c>
      <c r="H29" s="10" t="inlineStr">
        <is>
          <t>C10</t>
        </is>
      </c>
      <c r="I29" s="5" t="inlineStr">
        <is>
          <t>RS Means FY24 CONUS: LED exit sign, wall/ceiling mount, complete. RSM 26 53 13.</t>
        </is>
      </c>
    </row>
    <row r="30" ht="18" customHeight="1">
      <c r="A30" s="12" t="inlineStr">
        <is>
          <t>5.  CONSTRUCT 6 PRIVATE OFFICES</t>
        </is>
      </c>
    </row>
    <row r="31">
      <c r="A31" s="4" t="n">
        <v>23</v>
      </c>
      <c r="B31" s="4" t="inlineStr">
        <is>
          <t>Offices</t>
        </is>
      </c>
      <c r="C31" s="5" t="inlineStr">
        <is>
          <t>New gypsum stud partition walls for 6 private offices - built over existing work bench infrastructure per client direction</t>
        </is>
      </c>
      <c r="D31" s="13" t="n">
        <v>6</v>
      </c>
      <c r="E31" s="4" t="inlineStr">
        <is>
          <t>EA</t>
        </is>
      </c>
      <c r="F31" s="14" t="n">
        <v>10000</v>
      </c>
      <c r="G31" s="15">
        <f>D31*F31</f>
        <v/>
      </c>
      <c r="H31" s="10" t="inlineStr">
        <is>
          <t>C10</t>
        </is>
      </c>
      <c r="I31" s="5" t="inlineStr">
        <is>
          <t>RS Means FY24 CONUS: GWB partition, 3-5/8-in stud, 10-ft height, per office bay. RSM 09 29 00.</t>
        </is>
      </c>
    </row>
    <row r="32">
      <c r="A32" s="4" t="n">
        <v>24</v>
      </c>
      <c r="B32" s="4" t="inlineStr">
        <is>
          <t>Offices</t>
        </is>
      </c>
      <c r="C32" s="5" t="inlineStr">
        <is>
          <t>New door/frame/hardware per office - 6 EA</t>
        </is>
      </c>
      <c r="D32" s="13" t="n">
        <v>6</v>
      </c>
      <c r="E32" s="4" t="inlineStr">
        <is>
          <t>EA</t>
        </is>
      </c>
      <c r="F32" s="14" t="n">
        <v>2500</v>
      </c>
      <c r="G32" s="15">
        <f>D32*F32</f>
        <v/>
      </c>
      <c r="H32" s="10" t="inlineStr">
        <is>
          <t>C10</t>
        </is>
      </c>
      <c r="I32" s="5" t="inlineStr">
        <is>
          <t>RS Means FY24 CONUS: HM door 3x7, frame, lever hardware, complete. RSM 08 11 13.</t>
        </is>
      </c>
    </row>
    <row r="33">
      <c r="A33" s="4" t="n">
        <v>25</v>
      </c>
      <c r="B33" s="4" t="inlineStr">
        <is>
          <t>Offices</t>
        </is>
      </c>
      <c r="C33" s="5" t="inlineStr">
        <is>
          <t>Electrical - outlets, switches, and LED lighting per office, 6 EA</t>
        </is>
      </c>
      <c r="D33" s="13" t="n">
        <v>6</v>
      </c>
      <c r="E33" s="4" t="inlineStr">
        <is>
          <t>EA</t>
        </is>
      </c>
      <c r="F33" s="14" t="n">
        <v>3000</v>
      </c>
      <c r="G33" s="15">
        <f>D33*F33</f>
        <v/>
      </c>
      <c r="H33" s="10" t="inlineStr">
        <is>
          <t>C10</t>
        </is>
      </c>
      <c r="I33" s="5" t="inlineStr">
        <is>
          <t>RS Means FY24 CONUS: Branch circuit, 4 outlets + 2 switches + 2 LED fixtures per office. RSM 26 05 19.</t>
        </is>
      </c>
    </row>
    <row r="34">
      <c r="A34" s="4" t="n">
        <v>26</v>
      </c>
      <c r="B34" s="4" t="inlineStr">
        <is>
          <t>Offices</t>
        </is>
      </c>
      <c r="C34" s="5" t="inlineStr">
        <is>
          <t>Emergency egress lighting per office - 6 EA per NFPA 101 / UFC 3-530-01</t>
        </is>
      </c>
      <c r="D34" s="13" t="n">
        <v>6</v>
      </c>
      <c r="E34" s="4" t="inlineStr">
        <is>
          <t>EA</t>
        </is>
      </c>
      <c r="F34" s="14" t="n">
        <v>600</v>
      </c>
      <c r="G34" s="15">
        <f>D34*F34</f>
        <v/>
      </c>
      <c r="H34" s="10" t="inlineStr">
        <is>
          <t>C10</t>
        </is>
      </c>
      <c r="I34" s="5" t="inlineStr">
        <is>
          <t>RS Means FY24 CONUS: Battery-backed egress light, wall mount, complete. RSM 26 53 16.</t>
        </is>
      </c>
    </row>
    <row r="35">
      <c r="A35" s="4" t="n">
        <v>27</v>
      </c>
      <c r="B35" s="4" t="inlineStr">
        <is>
          <t>Offices</t>
        </is>
      </c>
      <c r="C35" s="5" t="inlineStr">
        <is>
          <t>Fire alarm devices in new office spaces - smoke detector and horn/strobe per NFPA 72, 6 EA</t>
        </is>
      </c>
      <c r="D35" s="13" t="n">
        <v>6</v>
      </c>
      <c r="E35" s="4" t="inlineStr">
        <is>
          <t>EA</t>
        </is>
      </c>
      <c r="F35" s="14" t="n">
        <v>1800</v>
      </c>
      <c r="G35" s="15">
        <f>D35*F35</f>
        <v/>
      </c>
      <c r="H35" s="10" t="inlineStr">
        <is>
          <t>C10</t>
        </is>
      </c>
      <c r="I35" s="5" t="inlineStr">
        <is>
          <t>RS Means FY24 CONUS: Smoke detector + notification appliance, addressable, per office. RSM 28 31 11.</t>
        </is>
      </c>
    </row>
    <row r="36">
      <c r="A36" s="4" t="n">
        <v>28</v>
      </c>
      <c r="B36" s="4" t="inlineStr">
        <is>
          <t>Offices</t>
        </is>
      </c>
      <c r="C36" s="5" t="inlineStr">
        <is>
          <t>VCT flooring per office - 6 EA</t>
        </is>
      </c>
      <c r="D36" s="13" t="n">
        <v>6</v>
      </c>
      <c r="E36" s="4" t="inlineStr">
        <is>
          <t>EA</t>
        </is>
      </c>
      <c r="F36" s="14" t="n">
        <v>1500</v>
      </c>
      <c r="G36" s="15">
        <f>D36*F36</f>
        <v/>
      </c>
      <c r="H36" s="10" t="inlineStr">
        <is>
          <t>C10</t>
        </is>
      </c>
      <c r="I36" s="5" t="inlineStr">
        <is>
          <t>RS Means FY24 CONUS: VCT 12x12, commercial grade, including adhesive and base. RSM 09 65 13.</t>
        </is>
      </c>
    </row>
    <row r="37">
      <c r="A37" s="4" t="n">
        <v>29</v>
      </c>
      <c r="B37" s="4" t="inlineStr">
        <is>
          <t>Offices</t>
        </is>
      </c>
      <c r="C37" s="5" t="inlineStr">
        <is>
          <t>Interior paint per office - 6 EA</t>
        </is>
      </c>
      <c r="D37" s="13" t="n">
        <v>6</v>
      </c>
      <c r="E37" s="4" t="inlineStr">
        <is>
          <t>EA</t>
        </is>
      </c>
      <c r="F37" s="14" t="n">
        <v>800</v>
      </c>
      <c r="G37" s="15">
        <f>D37*F37</f>
        <v/>
      </c>
      <c r="H37" s="10" t="inlineStr">
        <is>
          <t>C10</t>
        </is>
      </c>
      <c r="I37" s="5" t="inlineStr">
        <is>
          <t>RS Means FY24 CONUS: Interior latex paint, 2 coats, walls and ceiling per office. RSM 09 91 13.</t>
        </is>
      </c>
    </row>
    <row r="38">
      <c r="A38" s="4" t="n">
        <v>30</v>
      </c>
      <c r="B38" s="4" t="inlineStr">
        <is>
          <t>Offices</t>
        </is>
      </c>
      <c r="C38" s="5" t="inlineStr">
        <is>
          <t>Exit sign addition/relocation for new office cluster egress configuration - 3 EA per NFPA 101 / IBC Ch. 10</t>
        </is>
      </c>
      <c r="D38" s="13" t="n">
        <v>3</v>
      </c>
      <c r="E38" s="4" t="inlineStr">
        <is>
          <t>EA</t>
        </is>
      </c>
      <c r="F38" s="14" t="n">
        <v>500</v>
      </c>
      <c r="G38" s="15">
        <f>D38*F38</f>
        <v/>
      </c>
      <c r="H38" s="10" t="inlineStr">
        <is>
          <t>C10</t>
        </is>
      </c>
      <c r="I38" s="5" t="inlineStr">
        <is>
          <t>RS Means FY24 CONUS: LED exit sign, wall/ceiling mount, complete. RSM 26 53 13.</t>
        </is>
      </c>
    </row>
    <row r="39" ht="18" customHeight="1">
      <c r="A39" s="12" t="inlineStr">
        <is>
          <t>6.  EOD OFFICE PARTITION</t>
        </is>
      </c>
    </row>
    <row r="40">
      <c r="A40" s="4" t="n">
        <v>31</v>
      </c>
      <c r="B40" s="4" t="inlineStr">
        <is>
          <t>EOD Office</t>
        </is>
      </c>
      <c r="C40" s="5" t="inlineStr">
        <is>
          <t>New gypsum stud partitions for EOD office space division</t>
        </is>
      </c>
      <c r="D40" s="13" t="n">
        <v>1</v>
      </c>
      <c r="E40" s="4" t="inlineStr">
        <is>
          <t>LS</t>
        </is>
      </c>
      <c r="F40" s="14" t="n">
        <v>12000</v>
      </c>
      <c r="G40" s="15">
        <f>D40*F40</f>
        <v/>
      </c>
      <c r="H40" s="10" t="inlineStr">
        <is>
          <t>C10</t>
        </is>
      </c>
      <c r="I40" s="5" t="inlineStr">
        <is>
          <t>RS Means FY24 CONUS: GWB partition, 3-5/8-in stud, 10-ft height, complete. RSM 09 29 00.</t>
        </is>
      </c>
    </row>
    <row r="41">
      <c r="A41" s="4" t="n">
        <v>32</v>
      </c>
      <c r="B41" s="4" t="inlineStr">
        <is>
          <t>EOD Office</t>
        </is>
      </c>
      <c r="C41" s="5" t="inlineStr">
        <is>
          <t>New door/frame/hardware for partitioned EOD spaces - 2 EA</t>
        </is>
      </c>
      <c r="D41" s="13" t="n">
        <v>2</v>
      </c>
      <c r="E41" s="4" t="inlineStr">
        <is>
          <t>EA</t>
        </is>
      </c>
      <c r="F41" s="14" t="n">
        <v>2500</v>
      </c>
      <c r="G41" s="15">
        <f>D41*F41</f>
        <v/>
      </c>
      <c r="H41" s="10" t="inlineStr">
        <is>
          <t>C10</t>
        </is>
      </c>
      <c r="I41" s="5" t="inlineStr">
        <is>
          <t>RS Means FY24 CONUS: HM door 3x7, frame, lever hardware, complete. RSM 08 11 13.</t>
        </is>
      </c>
    </row>
    <row r="42">
      <c r="A42" s="4" t="n">
        <v>33</v>
      </c>
      <c r="B42" s="4" t="inlineStr">
        <is>
          <t>EOD Office</t>
        </is>
      </c>
      <c r="C42" s="5" t="inlineStr">
        <is>
          <t>Electrical modifications for partitioned EOD spaces - outlets, switches, lighting</t>
        </is>
      </c>
      <c r="D42" s="13" t="n">
        <v>1</v>
      </c>
      <c r="E42" s="4" t="inlineStr">
        <is>
          <t>LS</t>
        </is>
      </c>
      <c r="F42" s="14" t="n">
        <v>5000</v>
      </c>
      <c r="G42" s="15">
        <f>D42*F42</f>
        <v/>
      </c>
      <c r="H42" s="10" t="inlineStr">
        <is>
          <t>C10</t>
        </is>
      </c>
      <c r="I42" s="5" t="inlineStr">
        <is>
          <t>RS Means FY24 CONUS: Branch circuit extension, 4 outlets + 2 switches + 2 LED fixtures. RSM 26 05 19.</t>
        </is>
      </c>
    </row>
    <row r="43">
      <c r="A43" s="4" t="n">
        <v>34</v>
      </c>
      <c r="B43" s="4" t="inlineStr">
        <is>
          <t>EOD Office</t>
        </is>
      </c>
      <c r="C43" s="5" t="inlineStr">
        <is>
          <t>Emergency egress lighting for new EOD partitioned spaces per NFPA 101 / UFC 3-530-01</t>
        </is>
      </c>
      <c r="D43" s="13" t="n">
        <v>1</v>
      </c>
      <c r="E43" s="4" t="inlineStr">
        <is>
          <t>LS</t>
        </is>
      </c>
      <c r="F43" s="14" t="n">
        <v>1200</v>
      </c>
      <c r="G43" s="15">
        <f>D43*F43</f>
        <v/>
      </c>
      <c r="H43" s="10" t="inlineStr">
        <is>
          <t>C10</t>
        </is>
      </c>
      <c r="I43" s="5" t="inlineStr">
        <is>
          <t>RS Means FY24 CONUS: Battery-backed egress light, wall mount, 2 EA. RSM 26 53 16.</t>
        </is>
      </c>
    </row>
    <row r="44">
      <c r="A44" s="4" t="n">
        <v>35</v>
      </c>
      <c r="B44" s="4" t="inlineStr">
        <is>
          <t>EOD Office</t>
        </is>
      </c>
      <c r="C44" s="5" t="inlineStr">
        <is>
          <t>Fire alarm devices - smoke detectors and notification devices for new EOD partitioned spaces per NFPA 72</t>
        </is>
      </c>
      <c r="D44" s="13" t="n">
        <v>1</v>
      </c>
      <c r="E44" s="4" t="inlineStr">
        <is>
          <t>LS</t>
        </is>
      </c>
      <c r="F44" s="14" t="n">
        <v>3600</v>
      </c>
      <c r="G44" s="15">
        <f>D44*F44</f>
        <v/>
      </c>
      <c r="H44" s="10" t="inlineStr">
        <is>
          <t>C10</t>
        </is>
      </c>
      <c r="I44" s="5" t="inlineStr">
        <is>
          <t>RS Means FY24 CONUS: Smoke detector + notification appliance, addressable, 2 EA. RSM 28 31 11.</t>
        </is>
      </c>
    </row>
    <row r="45">
      <c r="A45" s="4" t="n">
        <v>36</v>
      </c>
      <c r="B45" s="4" t="inlineStr">
        <is>
          <t>EOD Office</t>
        </is>
      </c>
      <c r="C45" s="5" t="inlineStr">
        <is>
          <t>Finishes - VCT flooring and interior paint for EOD partitioned spaces</t>
        </is>
      </c>
      <c r="D45" s="13" t="n">
        <v>1</v>
      </c>
      <c r="E45" s="4" t="inlineStr">
        <is>
          <t>LS</t>
        </is>
      </c>
      <c r="F45" s="14" t="n">
        <v>4500</v>
      </c>
      <c r="G45" s="15">
        <f>D45*F45</f>
        <v/>
      </c>
      <c r="H45" s="10" t="inlineStr">
        <is>
          <t>C10</t>
        </is>
      </c>
      <c r="I45" s="5" t="inlineStr">
        <is>
          <t>RS Means FY24 CONUS: VCT and 2-coat interior paint, commercial, LS per space. RSM 09 65 13.</t>
        </is>
      </c>
    </row>
    <row r="46">
      <c r="A46" s="4" t="n">
        <v>37</v>
      </c>
      <c r="B46" s="4" t="inlineStr">
        <is>
          <t>EOD Office</t>
        </is>
      </c>
      <c r="C46" s="5" t="inlineStr">
        <is>
          <t>Exit sign relocation for new EOD partition egress configuration per NFPA 101 / IBC Chapter 10</t>
        </is>
      </c>
      <c r="D46" s="13" t="n">
        <v>1</v>
      </c>
      <c r="E46" s="4" t="inlineStr">
        <is>
          <t>EA</t>
        </is>
      </c>
      <c r="F46" s="14" t="n">
        <v>500</v>
      </c>
      <c r="G46" s="15">
        <f>D46*F46</f>
        <v/>
      </c>
      <c r="H46" s="10" t="inlineStr">
        <is>
          <t>C10</t>
        </is>
      </c>
      <c r="I46" s="5" t="inlineStr">
        <is>
          <t>RS Means FY24 CONUS: LED exit sign, wall/ceiling mount, complete. RSM 26 53 13.</t>
        </is>
      </c>
    </row>
    <row r="47" ht="18" customHeight="1">
      <c r="A47" s="12" t="inlineStr">
        <is>
          <t>7.  CONSTRUCT SECURE STORAGE - UNIT MAIL ROOM</t>
        </is>
      </c>
    </row>
    <row r="48">
      <c r="A48" s="4" t="n">
        <v>38</v>
      </c>
      <c r="B48" s="4" t="inlineStr">
        <is>
          <t>Mail Room</t>
        </is>
      </c>
      <c r="C48" s="5" t="inlineStr">
        <is>
          <t>New partition walls to establish Unit Mail Distribution Point per MCO 5110.1 / DoD 4525.6-M - programmed approx. 175 SF - CCN 61010 per UFC 3-701-01 - built over existing bench/shelf infrastructure per client direction</t>
        </is>
      </c>
      <c r="D48" s="13" t="n">
        <v>1</v>
      </c>
      <c r="E48" s="4" t="inlineStr">
        <is>
          <t>LS</t>
        </is>
      </c>
      <c r="F48" s="14" t="n">
        <v>8000</v>
      </c>
      <c r="G48" s="15">
        <f>D48*F48</f>
        <v/>
      </c>
      <c r="H48" s="10" t="inlineStr">
        <is>
          <t>C10</t>
        </is>
      </c>
      <c r="I48" s="5" t="inlineStr">
        <is>
          <t>RS Means FY24 CONUS: GWB partition, 3-5/8-in stud, 10-ft height, LS for mail room enclosure. RSM 09 29 00.</t>
        </is>
      </c>
    </row>
    <row r="49">
      <c r="A49" s="4" t="n">
        <v>39</v>
      </c>
      <c r="B49" s="4" t="inlineStr">
        <is>
          <t>Mail Room</t>
        </is>
      </c>
      <c r="C49" s="5" t="inlineStr">
        <is>
          <t>Security door/frame/lockset/closer for secure mail room</t>
        </is>
      </c>
      <c r="D49" s="13" t="n">
        <v>1</v>
      </c>
      <c r="E49" s="4" t="inlineStr">
        <is>
          <t>EA</t>
        </is>
      </c>
      <c r="F49" s="14" t="n">
        <v>6000</v>
      </c>
      <c r="G49" s="15">
        <f>D49*F49</f>
        <v/>
      </c>
      <c r="H49" s="10" t="inlineStr">
        <is>
          <t>C10</t>
        </is>
      </c>
      <c r="I49" s="5" t="inlineStr">
        <is>
          <t>RS Means FY24 CONUS: HM door with security lockset, closer, and reinforced frame. RSM 08 11 13.</t>
        </is>
      </c>
    </row>
    <row r="50">
      <c r="A50" s="4" t="n">
        <v>40</v>
      </c>
      <c r="B50" s="4" t="inlineStr">
        <is>
          <t>Mail Room</t>
        </is>
      </c>
      <c r="C50" s="5" t="inlineStr">
        <is>
          <t>Electrical - outlets and LED lighting in secure storage area</t>
        </is>
      </c>
      <c r="D50" s="13" t="n">
        <v>1</v>
      </c>
      <c r="E50" s="4" t="inlineStr">
        <is>
          <t>LS</t>
        </is>
      </c>
      <c r="F50" s="14" t="n">
        <v>3500</v>
      </c>
      <c r="G50" s="15">
        <f>D50*F50</f>
        <v/>
      </c>
      <c r="H50" s="10" t="inlineStr">
        <is>
          <t>C10</t>
        </is>
      </c>
      <c r="I50" s="5" t="inlineStr">
        <is>
          <t>RS Means FY24 CONUS: Branch circuit, 2 outlets + 2 LED fixtures, complete. RSM 26 05 19.</t>
        </is>
      </c>
    </row>
    <row r="51">
      <c r="A51" s="4" t="n">
        <v>41</v>
      </c>
      <c r="B51" s="4" t="inlineStr">
        <is>
          <t>Mail Room</t>
        </is>
      </c>
      <c r="C51" s="5" t="inlineStr">
        <is>
          <t>Fire alarm device - smoke detector for new enclosed mail room per NFPA 72</t>
        </is>
      </c>
      <c r="D51" s="13" t="n">
        <v>1</v>
      </c>
      <c r="E51" s="4" t="inlineStr">
        <is>
          <t>EA</t>
        </is>
      </c>
      <c r="F51" s="14" t="n">
        <v>1200</v>
      </c>
      <c r="G51" s="15">
        <f>D51*F51</f>
        <v/>
      </c>
      <c r="H51" s="10" t="inlineStr">
        <is>
          <t>C10</t>
        </is>
      </c>
      <c r="I51" s="5" t="inlineStr">
        <is>
          <t>RS Means FY24 CONUS: Addressable smoke detector, complete. RSM 28 31 11.</t>
        </is>
      </c>
    </row>
    <row r="52">
      <c r="A52" s="4" t="n">
        <v>42</v>
      </c>
      <c r="B52" s="4" t="inlineStr">
        <is>
          <t>Mail Room</t>
        </is>
      </c>
      <c r="C52" s="5" t="inlineStr">
        <is>
          <t>Finishes - VCT flooring and interior paint in secure mail room</t>
        </is>
      </c>
      <c r="D52" s="13" t="n">
        <v>1</v>
      </c>
      <c r="E52" s="4" t="inlineStr">
        <is>
          <t>LS</t>
        </is>
      </c>
      <c r="F52" s="14" t="n">
        <v>2500</v>
      </c>
      <c r="G52" s="15">
        <f>D52*F52</f>
        <v/>
      </c>
      <c r="H52" s="10" t="inlineStr">
        <is>
          <t>C10</t>
        </is>
      </c>
      <c r="I52" s="5" t="inlineStr">
        <is>
          <t>RS Means FY24 CONUS: VCT and 2-coat interior paint, commercial. RSM 09 65 13.</t>
        </is>
      </c>
    </row>
    <row r="53" ht="18" customHeight="1">
      <c r="A53" s="12" t="inlineStr">
        <is>
          <t>8.  HAZARDOUS MATERIALS - SURVEY AND ABATEMENT</t>
        </is>
      </c>
    </row>
    <row r="54">
      <c r="A54" s="4" t="n">
        <v>43</v>
      </c>
      <c r="B54" s="4" t="inlineStr">
        <is>
          <t>HAZMAT</t>
        </is>
      </c>
      <c r="C54" s="5" t="inlineStr">
        <is>
          <t>ACM re-inspection and survey confirmation - verify 2001 Bhate Environmental survey findings, full building pre-design per full HVAC duct and plumbing floor demolition scope</t>
        </is>
      </c>
      <c r="D54" s="13" t="n">
        <v>1</v>
      </c>
      <c r="E54" s="4" t="inlineStr">
        <is>
          <t>LS</t>
        </is>
      </c>
      <c r="F54" s="14" t="n">
        <v>6000</v>
      </c>
      <c r="G54" s="15">
        <f>D54*F54</f>
        <v/>
      </c>
      <c r="H54" s="10" t="inlineStr">
        <is>
          <t>F10</t>
        </is>
      </c>
      <c r="I54" s="5" t="inlineStr">
        <is>
          <t>Bhate Environmental Associates 2001, NVLAP accredited PLM. Re-inspection required - 25-yr survey age and full system replacement scope per UFC 3-470-06.</t>
        </is>
      </c>
    </row>
    <row r="55">
      <c r="A55" s="4" t="n">
        <v>44</v>
      </c>
      <c r="B55" s="4" t="inlineStr">
        <is>
          <t>HAZMAT</t>
        </is>
      </c>
      <c r="C55" s="5" t="inlineStr">
        <is>
          <t>Lead-Based Paint (LBP) survey - whole building pre-design per UFC 3-470-03 and EPA RRP Rule 40 CFR Part 745</t>
        </is>
      </c>
      <c r="D55" s="13" t="n">
        <v>1</v>
      </c>
      <c r="E55" s="4" t="inlineStr">
        <is>
          <t>LS</t>
        </is>
      </c>
      <c r="F55" s="14" t="n">
        <v>4000</v>
      </c>
      <c r="G55" s="15">
        <f>D55*F55</f>
        <v/>
      </c>
      <c r="H55" s="10" t="inlineStr">
        <is>
          <t>F10</t>
        </is>
      </c>
      <c r="I55" s="5" t="inlineStr">
        <is>
          <t>RS Means FY24 CONUS: LBP inspection and risk assessment, commercial building, 13,484 SF. RSM 02 82 16.</t>
        </is>
      </c>
    </row>
    <row r="56">
      <c r="A56" s="4" t="n">
        <v>45</v>
      </c>
      <c r="B56" s="4" t="inlineStr">
        <is>
          <t>HAZMAT</t>
        </is>
      </c>
      <c r="C56" s="5" t="inlineStr">
        <is>
          <t>Targeted ACM abatement - H2 rose 12x12 floor tile, 570 SF, Corridor 100/Rooms 8 and 23, 4% Chrysotile non-friable; full plumbing DWV replacement triggers floor demolition per OSHA 1926.1101</t>
        </is>
      </c>
      <c r="D56" s="13" t="n">
        <v>570</v>
      </c>
      <c r="E56" s="4" t="inlineStr">
        <is>
          <t>SF</t>
        </is>
      </c>
      <c r="F56" s="14" t="n">
        <v>32</v>
      </c>
      <c r="G56" s="15">
        <f>D56*F56</f>
        <v/>
      </c>
      <c r="H56" s="10" t="inlineStr">
        <is>
          <t>F10</t>
        </is>
      </c>
      <c r="I56" s="5" t="inlineStr">
        <is>
          <t>Bhate 2001 confirmed: H2, 570 SF, 4% Chrysotile, non-friable, good condition. Abatement triggered by confirmed floor demolition scope. RS Means FY24 CONUS RSM 02 82 13.13.</t>
        </is>
      </c>
    </row>
    <row r="57">
      <c r="A57" s="4" t="n">
        <v>46</v>
      </c>
      <c r="B57" s="4" t="inlineStr">
        <is>
          <t>HAZMAT</t>
        </is>
      </c>
      <c r="C57" s="5" t="inlineStr">
        <is>
          <t>HAZMAT contractor mobilization, containment setup, negative air, air monitoring, and post-abatement clearance testing</t>
        </is>
      </c>
      <c r="D57" s="13" t="n">
        <v>1</v>
      </c>
      <c r="E57" s="4" t="inlineStr">
        <is>
          <t>LS</t>
        </is>
      </c>
      <c r="F57" s="14" t="n">
        <v>8000</v>
      </c>
      <c r="G57" s="15">
        <f>D57*F57</f>
        <v/>
      </c>
      <c r="H57" s="10" t="inlineStr">
        <is>
          <t>F10</t>
        </is>
      </c>
      <c r="I57" s="5" t="inlineStr">
        <is>
          <t>RS Means FY24 CONUS: HAZMAT contractor mobilization, commercial abatement project, complete. RSM 02 82 13.</t>
        </is>
      </c>
    </row>
    <row r="58">
      <c r="A58" s="4" t="n">
        <v>47</v>
      </c>
      <c r="B58" s="4" t="inlineStr">
        <is>
          <t>HAZMAT</t>
        </is>
      </c>
      <c r="C58" s="5" t="inlineStr">
        <is>
          <t>ACM contingency allowance - potential ceiling tile and duct insulation disturbance building-wide per full HVAC duct replacement scope; 13,484 SF per UFC 3-470-06; confirm or remove at design following re-inspection per Item 43</t>
        </is>
      </c>
      <c r="D58" s="13" t="n">
        <v>13484</v>
      </c>
      <c r="E58" s="4" t="inlineStr">
        <is>
          <t>SF</t>
        </is>
      </c>
      <c r="F58" s="14" t="n">
        <v>5</v>
      </c>
      <c r="G58" s="15">
        <f>D58*F58</f>
        <v/>
      </c>
      <c r="H58" s="10" t="inlineStr">
        <is>
          <t>F10</t>
        </is>
      </c>
      <c r="I58" s="5" t="inlineStr">
        <is>
          <t>Level 3 ROM allowance $5/SF per UFC 3-470-06 guidance. Included in hard scope. Confirm or remove at design following re-inspection per Item 43. RS Means FY24 CONUS: ACM ceiling/insulation abatement allowance.</t>
        </is>
      </c>
    </row>
    <row r="59" ht="18" customHeight="1">
      <c r="A59" s="12" t="inlineStr">
        <is>
          <t>9.  HVAC FULL SYSTEM REPLACEMENT</t>
        </is>
      </c>
    </row>
    <row r="60">
      <c r="A60" s="4" t="n">
        <v>48</v>
      </c>
      <c r="B60" s="4" t="inlineStr">
        <is>
          <t>HVAC</t>
        </is>
      </c>
      <c r="C60" s="5" t="inlineStr">
        <is>
          <t>Demo existing central chilled water plant - chiller C-1, AHU-1, BC-1 booster coil, pumps P-1 (2 EA), expansion tanks EWT-1/EWT-2, reheat coil RH-1, controls, and associated peripherals per as-built equipment schedule Sheet 5-20</t>
        </is>
      </c>
      <c r="D60" s="13" t="n">
        <v>1</v>
      </c>
      <c r="E60" s="4" t="inlineStr">
        <is>
          <t>LS</t>
        </is>
      </c>
      <c r="F60" s="14" t="n">
        <v>22000</v>
      </c>
      <c r="G60" s="15">
        <f>D60*F60</f>
        <v/>
      </c>
      <c r="H60" s="10" t="inlineStr">
        <is>
          <t>D30</t>
        </is>
      </c>
      <c r="I60" s="5" t="inlineStr">
        <is>
          <t>RS Means FY24 CONUS: Mechanical equipment demolition and disposal, central chilled water plant, 80-100 ton class. RSM 15 21 05.</t>
        </is>
      </c>
    </row>
    <row r="61">
      <c r="A61" s="4" t="n">
        <v>49</v>
      </c>
      <c r="B61" s="4" t="inlineStr">
        <is>
          <t>HVAC</t>
        </is>
      </c>
      <c r="C61" s="5" t="inlineStr">
        <is>
          <t>Demo existing ductwork building-wide - all supply, return, and exhaust sheet metal duct, hangers, insulation, diffusers, and registers, 13,484 SF; original 1984 construction past ASHRAE 30-yr service life per mechanical evaluation 19 Mar 2026</t>
        </is>
      </c>
      <c r="D61" s="13" t="n">
        <v>13484</v>
      </c>
      <c r="E61" s="4" t="inlineStr">
        <is>
          <t>SF</t>
        </is>
      </c>
      <c r="F61" s="14" t="n">
        <v>3.5</v>
      </c>
      <c r="G61" s="15">
        <f>D61*F61</f>
        <v/>
      </c>
      <c r="H61" s="10" t="inlineStr">
        <is>
          <t>D30</t>
        </is>
      </c>
      <c r="I61" s="5" t="inlineStr">
        <is>
          <t>RS Means FY24 CONUS: Sheet metal ductwork demolition, existing commercial building, per SF floor area. RSM 23 07 13.</t>
        </is>
      </c>
    </row>
    <row r="62">
      <c r="A62" s="4" t="n">
        <v>50</v>
      </c>
      <c r="B62" s="4" t="inlineStr">
        <is>
          <t>HVAC</t>
        </is>
      </c>
      <c r="C62" s="5" t="inlineStr">
        <is>
          <t>Remove fuel oil tank OT-1 (240-gal above-ground steel) and all fuel oil supply and return piping - boiler B-1 system removal</t>
        </is>
      </c>
      <c r="D62" s="13" t="n">
        <v>1</v>
      </c>
      <c r="E62" s="4" t="inlineStr">
        <is>
          <t>LS</t>
        </is>
      </c>
      <c r="F62" s="14" t="n">
        <v>8500</v>
      </c>
      <c r="G62" s="15">
        <f>D62*F62</f>
        <v/>
      </c>
      <c r="H62" s="10" t="inlineStr">
        <is>
          <t>D30</t>
        </is>
      </c>
      <c r="I62" s="5" t="inlineStr">
        <is>
          <t>RS Means FY24 CONUS: Above-ground storage tank removal and disposal, 240-gal steel tank, includes transport. RSM 02 82 13.</t>
        </is>
      </c>
    </row>
    <row r="63">
      <c r="A63" s="4" t="n">
        <v>51</v>
      </c>
      <c r="B63" s="4" t="inlineStr">
        <is>
          <t>HVAC</t>
        </is>
      </c>
      <c r="C63" s="5" t="inlineStr">
        <is>
          <t>Remove abandoned compressed air system - air compressor, distribution piping, and outlets building-wide</t>
        </is>
      </c>
      <c r="D63" s="13" t="n">
        <v>1</v>
      </c>
      <c r="E63" s="4" t="inlineStr">
        <is>
          <t>LS</t>
        </is>
      </c>
      <c r="F63" s="14" t="n">
        <v>5500</v>
      </c>
      <c r="G63" s="15">
        <f>D63*F63</f>
        <v/>
      </c>
      <c r="H63" s="10" t="inlineStr">
        <is>
          <t>D30</t>
        </is>
      </c>
      <c r="I63" s="5" t="inlineStr">
        <is>
          <t>RS Means FY24 CONUS: Compressed air system demolition, piping removal, existing building. RSM 15 21 05.</t>
        </is>
      </c>
    </row>
    <row r="64">
      <c r="A64" s="4" t="n">
        <v>52</v>
      </c>
      <c r="B64" s="4" t="inlineStr">
        <is>
          <t>HVAC</t>
        </is>
      </c>
      <c r="C64" s="5" t="inlineStr">
        <is>
          <t>New air-cooled chilling unit, 86 ton (302 kW), pad-mounted exterior - new concrete equipment pad, refrigerant piping, electrical disconnect, startup and commissioning; replaces C-1 per as-built equipment schedule Sheet 5-20</t>
        </is>
      </c>
      <c r="D64" s="13" t="n">
        <v>1</v>
      </c>
      <c r="E64" s="4" t="inlineStr">
        <is>
          <t>EA</t>
        </is>
      </c>
      <c r="F64" s="14" t="n">
        <v>108000</v>
      </c>
      <c r="G64" s="15">
        <f>D64*F64</f>
        <v/>
      </c>
      <c r="H64" s="10" t="inlineStr">
        <is>
          <t>D30</t>
        </is>
      </c>
      <c r="I64" s="5" t="inlineStr">
        <is>
          <t>RS Means FY24 CONUS: Air-cooled chiller, 80-100 ton, complete with refrigerant charge, controls, and commissioning. RSM 23 64 16.</t>
        </is>
      </c>
    </row>
    <row r="65">
      <c r="A65" s="4" t="n">
        <v>53</v>
      </c>
      <c r="B65" s="4" t="inlineStr">
        <is>
          <t>HVAC</t>
        </is>
      </c>
      <c r="C65" s="5" t="inlineStr">
        <is>
          <t>New air handling unit, floor-setting horizontal type, approximately 7,000 CFM - filters, coils, fan section, drain pan, and electrical connection; replaces AHU-1 per equipment schedule Sheet 5-20</t>
        </is>
      </c>
      <c r="D65" s="13" t="n">
        <v>1</v>
      </c>
      <c r="E65" s="4" t="inlineStr">
        <is>
          <t>EA</t>
        </is>
      </c>
      <c r="F65" s="14" t="n">
        <v>52000</v>
      </c>
      <c r="G65" s="15">
        <f>D65*F65</f>
        <v/>
      </c>
      <c r="H65" s="10" t="inlineStr">
        <is>
          <t>D30</t>
        </is>
      </c>
      <c r="I65" s="5" t="inlineStr">
        <is>
          <t>RS Means FY24 CONUS: Air handling unit, horizontal, 5,000-8,000 CFM range, complete. RSM 23 74 33.</t>
        </is>
      </c>
    </row>
    <row r="66">
      <c r="A66" s="4" t="n">
        <v>54</v>
      </c>
      <c r="B66" s="4" t="inlineStr">
        <is>
          <t>HVAC</t>
        </is>
      </c>
      <c r="C66" s="5" t="inlineStr">
        <is>
          <t>New circulation pumps, centrifugal, 2 EA - pipe flanges, flexible connectors, isolation valves, motor starters, and electrical connections; replaces P-1 x2 per equipment schedule</t>
        </is>
      </c>
      <c r="D66" s="13" t="n">
        <v>2</v>
      </c>
      <c r="E66" s="4" t="inlineStr">
        <is>
          <t>EA</t>
        </is>
      </c>
      <c r="F66" s="14" t="n">
        <v>9500</v>
      </c>
      <c r="G66" s="15">
        <f>D66*F66</f>
        <v/>
      </c>
      <c r="H66" s="10" t="inlineStr">
        <is>
          <t>D30</t>
        </is>
      </c>
      <c r="I66" s="5" t="inlineStr">
        <is>
          <t>RS Means FY24 CONUS: Centrifugal pump, base-mounted, 1.5-3 HP, complete with fittings and starters. RSM 23 21 13.</t>
        </is>
      </c>
    </row>
    <row r="67">
      <c r="A67" s="4" t="n">
        <v>55</v>
      </c>
      <c r="B67" s="4" t="inlineStr">
        <is>
          <t>HVAC</t>
        </is>
      </c>
      <c r="C67" s="5" t="inlineStr">
        <is>
          <t>New booster coil unit, duct insertion type - electrical connection and duct reconnection; replaces BC-1 per equipment schedule Sheet 5-20</t>
        </is>
      </c>
      <c r="D67" s="13" t="n">
        <v>1</v>
      </c>
      <c r="E67" s="4" t="inlineStr">
        <is>
          <t>EA</t>
        </is>
      </c>
      <c r="F67" s="14" t="n">
        <v>17500</v>
      </c>
      <c r="G67" s="15">
        <f>D67*F67</f>
        <v/>
      </c>
      <c r="H67" s="10" t="inlineStr">
        <is>
          <t>D30</t>
        </is>
      </c>
      <c r="I67" s="5" t="inlineStr">
        <is>
          <t>RS Means FY24 CONUS: Duct insertion electric heating coil unit, commercial, complete. RSM 23 83 16.</t>
        </is>
      </c>
    </row>
    <row r="68">
      <c r="A68" s="4" t="n">
        <v>56</v>
      </c>
      <c r="B68" s="4" t="inlineStr">
        <is>
          <t>HVAC</t>
        </is>
      </c>
      <c r="C68" s="5" t="inlineStr">
        <is>
          <t>New chilled water distribution piping, Type L copper, insulated, building-wide - main supply and return runs, branch lines, isolation valves, balance valves, and pressure testing; approximately 350 LF from piping diagram Sheet 10-20</t>
        </is>
      </c>
      <c r="D68" s="13" t="n">
        <v>1</v>
      </c>
      <c r="E68" s="4" t="inlineStr">
        <is>
          <t>LS</t>
        </is>
      </c>
      <c r="F68" s="14" t="n">
        <v>24000</v>
      </c>
      <c r="G68" s="15">
        <f>D68*F68</f>
        <v/>
      </c>
      <c r="H68" s="10" t="inlineStr">
        <is>
          <t>D30</t>
        </is>
      </c>
      <c r="I68" s="5" t="inlineStr">
        <is>
          <t>RS Means FY24 CONUS: Copper pipe, insulated, chilled water distribution, 2-in dia avg, 350 LF estimated. RSM 23 21 13.16.</t>
        </is>
      </c>
    </row>
    <row r="69">
      <c r="A69" s="4" t="n">
        <v>57</v>
      </c>
      <c r="B69" s="4" t="inlineStr">
        <is>
          <t>HVAC</t>
        </is>
      </c>
      <c r="C69" s="5" t="inlineStr">
        <is>
          <t>New supply and return ductwork, diffusers, registers, and volume dampers building-wide - sheet metal fab, hangers, insulation, and all air distribution devices for 24 rooms per 1st floor duct plan Sheet 11-20; 13,484 SF</t>
        </is>
      </c>
      <c r="D69" s="13" t="n">
        <v>13484</v>
      </c>
      <c r="E69" s="4" t="inlineStr">
        <is>
          <t>SF</t>
        </is>
      </c>
      <c r="F69" s="14" t="n">
        <v>15</v>
      </c>
      <c r="G69" s="15">
        <f>D69*F69</f>
        <v/>
      </c>
      <c r="H69" s="10" t="inlineStr">
        <is>
          <t>D30</t>
        </is>
      </c>
      <c r="I69" s="5" t="inlineStr">
        <is>
          <t>RS Means FY24 CONUS: HVAC ductwork system, supply and return, commercial, complete per SF floor area. RSM 23 31 13.</t>
        </is>
      </c>
    </row>
    <row r="70">
      <c r="A70" s="4" t="n">
        <v>58</v>
      </c>
      <c r="B70" s="4" t="inlineStr">
        <is>
          <t>HVAC</t>
        </is>
      </c>
      <c r="C70" s="5" t="inlineStr">
        <is>
          <t>New power roof ventilators - replace RF-1 through RF-6 per as-built equipment schedule Sheet 5-20; 9 EA per field count confirmed</t>
        </is>
      </c>
      <c r="D70" s="13" t="n">
        <v>9</v>
      </c>
      <c r="E70" s="4" t="inlineStr">
        <is>
          <t>EA</t>
        </is>
      </c>
      <c r="F70" s="14" t="n">
        <v>5500</v>
      </c>
      <c r="G70" s="15">
        <f>D70*F70</f>
        <v/>
      </c>
      <c r="H70" s="10" t="inlineStr">
        <is>
          <t>D30</t>
        </is>
      </c>
      <c r="I70" s="5" t="inlineStr">
        <is>
          <t>RS Means FY24 CONUS: Power roof ventilator, centrifugal, 1,000-15,000 CFM, complete. RSM 23 34 23.</t>
        </is>
      </c>
    </row>
    <row r="71">
      <c r="A71" s="4" t="n">
        <v>59</v>
      </c>
      <c r="B71" s="4" t="inlineStr">
        <is>
          <t>HVAC</t>
        </is>
      </c>
      <c r="C71" s="5" t="inlineStr">
        <is>
          <t>New gravity roof ventilators - replace GV-1 and GF-2, 2 EA per as-built equipment schedule Sheet 5-20</t>
        </is>
      </c>
      <c r="D71" s="13" t="n">
        <v>2</v>
      </c>
      <c r="E71" s="4" t="inlineStr">
        <is>
          <t>EA</t>
        </is>
      </c>
      <c r="F71" s="14" t="n">
        <v>3200</v>
      </c>
      <c r="G71" s="15">
        <f>D71*F71</f>
        <v/>
      </c>
      <c r="H71" s="10" t="inlineStr">
        <is>
          <t>D30</t>
        </is>
      </c>
      <c r="I71" s="5" t="inlineStr">
        <is>
          <t>RS Means FY24 CONUS: Gravity roof ventilator, 300-500 CFM, complete. RSM 23 34 16.</t>
        </is>
      </c>
    </row>
    <row r="72">
      <c r="A72" s="4" t="n">
        <v>60</v>
      </c>
      <c r="B72" s="4" t="inlineStr">
        <is>
          <t>HVAC</t>
        </is>
      </c>
      <c r="C72" s="5" t="inlineStr">
        <is>
          <t>New exhaust fans, hanger-mounted centrifugal - replace EF-1, EF-2, EF-3, HF-1, HF-2, 5 EA per as-built equipment schedule Sheet 5-20</t>
        </is>
      </c>
      <c r="D72" s="13" t="n">
        <v>5</v>
      </c>
      <c r="E72" s="4" t="inlineStr">
        <is>
          <t>EA</t>
        </is>
      </c>
      <c r="F72" s="14" t="n">
        <v>2800</v>
      </c>
      <c r="G72" s="15">
        <f>D72*F72</f>
        <v/>
      </c>
      <c r="H72" s="10" t="inlineStr">
        <is>
          <t>D30</t>
        </is>
      </c>
      <c r="I72" s="5" t="inlineStr">
        <is>
          <t>RS Means FY24 CONUS: Centrifugal hanger-mounted exhaust fan, commercial, complete. RSM 23 34 13.</t>
        </is>
      </c>
    </row>
    <row r="73">
      <c r="A73" s="4" t="n">
        <v>61</v>
      </c>
      <c r="B73" s="4" t="inlineStr">
        <is>
          <t>HVAC</t>
        </is>
      </c>
      <c r="C73" s="5" t="inlineStr">
        <is>
          <t>DDC/BAS building automation controls - DDC for 24 zones per duct plan Sheet 11-20, central controller, thermostat per zone, wiring, and programming</t>
        </is>
      </c>
      <c r="D73" s="13" t="n">
        <v>1</v>
      </c>
      <c r="E73" s="4" t="inlineStr">
        <is>
          <t>LS</t>
        </is>
      </c>
      <c r="F73" s="14" t="n">
        <v>30000</v>
      </c>
      <c r="G73" s="15">
        <f>D73*F73</f>
        <v/>
      </c>
      <c r="H73" s="10" t="inlineStr">
        <is>
          <t>D30</t>
        </is>
      </c>
      <c r="I73" s="5" t="inlineStr">
        <is>
          <t>RS Means FY24 CONUS: DDC HVAC controls, commercial building, 24 zones complete. RSM 25 30 00.</t>
        </is>
      </c>
    </row>
    <row r="74" ht="18" customHeight="1">
      <c r="A74" s="12" t="inlineStr">
        <is>
          <t>10.  PLUMBING FULL REPLACEMENT AND RESTROOM RENOVATION</t>
        </is>
      </c>
    </row>
    <row r="75">
      <c r="A75" s="4" t="n">
        <v>62</v>
      </c>
      <c r="B75" s="4" t="inlineStr">
        <is>
          <t>Plumbing</t>
        </is>
      </c>
      <c r="C75" s="5" t="inlineStr">
        <is>
          <t>Demo existing cast iron sanitary DWV piping, floor drains, and cleanouts building-wide; original 1984 construction, 42 years old; per 1st floor piping plan Sheet 8-20 and drain piping isometric Sheet 9-20</t>
        </is>
      </c>
      <c r="D75" s="13" t="n">
        <v>13484</v>
      </c>
      <c r="E75" s="4" t="inlineStr">
        <is>
          <t>SF</t>
        </is>
      </c>
      <c r="F75" s="14" t="n">
        <v>5</v>
      </c>
      <c r="G75" s="15">
        <f>D75*F75</f>
        <v/>
      </c>
      <c r="H75" s="10" t="inlineStr">
        <is>
          <t>D20</t>
        </is>
      </c>
      <c r="I75" s="5" t="inlineStr">
        <is>
          <t>RS Means FY24 CONUS: Cast iron pipe demolition, DWV system, existing commercial building, per SF. RSM 02 41 19.</t>
        </is>
      </c>
    </row>
    <row r="76">
      <c r="A76" s="4" t="n">
        <v>63</v>
      </c>
      <c r="B76" s="4" t="inlineStr">
        <is>
          <t>Plumbing</t>
        </is>
      </c>
      <c r="C76" s="5" t="inlineStr">
        <is>
          <t>New Schedule 40 PVC drain, waste, and vent (DWV) system building-wide - all fixture drains, soil stacks, vent stacks, and cleanouts per IPC 2021; from all fixture locations to first sanitary manhole outside building</t>
        </is>
      </c>
      <c r="D76" s="13" t="n">
        <v>13484</v>
      </c>
      <c r="E76" s="4" t="inlineStr">
        <is>
          <t>SF</t>
        </is>
      </c>
      <c r="F76" s="14" t="n">
        <v>10.5</v>
      </c>
      <c r="G76" s="15">
        <f>D76*F76</f>
        <v/>
      </c>
      <c r="H76" s="10" t="inlineStr">
        <is>
          <t>D20</t>
        </is>
      </c>
      <c r="I76" s="5" t="inlineStr">
        <is>
          <t>RS Means FY24 CONUS: PVC DWV system, commercial building, complete per SF floor area. RSM 22 11 16.</t>
        </is>
      </c>
    </row>
    <row r="77">
      <c r="A77" s="4" t="n">
        <v>64</v>
      </c>
      <c r="B77" s="4" t="inlineStr">
        <is>
          <t>Plumbing</t>
        </is>
      </c>
      <c r="C77" s="5" t="inlineStr">
        <is>
          <t>Demo existing domestic water piping (cold water supply and domestic hot water distribution) building-wide; all branch piping serving restrooms, mech room, hose bibs, and service sink; per piping plan Sheet 8-20</t>
        </is>
      </c>
      <c r="D77" s="13" t="n">
        <v>13484</v>
      </c>
      <c r="E77" s="4" t="inlineStr">
        <is>
          <t>SF</t>
        </is>
      </c>
      <c r="F77" s="14" t="n">
        <v>3.5</v>
      </c>
      <c r="G77" s="15">
        <f>D77*F77</f>
        <v/>
      </c>
      <c r="H77" s="10" t="inlineStr">
        <is>
          <t>D20</t>
        </is>
      </c>
      <c r="I77" s="5" t="inlineStr">
        <is>
          <t>RS Means FY24 CONUS: Domestic water piping demolition, existing commercial building, per SF. RSM 02 41 19.</t>
        </is>
      </c>
    </row>
    <row r="78">
      <c r="A78" s="4" t="n">
        <v>65</v>
      </c>
      <c r="B78" s="4" t="inlineStr">
        <is>
          <t>Plumbing</t>
        </is>
      </c>
      <c r="C78" s="5" t="inlineStr">
        <is>
          <t>New Type L copper cold water distribution system building-wide - water service entry through building to all fixture locations, isolation valves, pressure-reducing valves, and hose bibs</t>
        </is>
      </c>
      <c r="D78" s="13" t="n">
        <v>13484</v>
      </c>
      <c r="E78" s="4" t="inlineStr">
        <is>
          <t>SF</t>
        </is>
      </c>
      <c r="F78" s="14" t="n">
        <v>9</v>
      </c>
      <c r="G78" s="15">
        <f>D78*F78</f>
        <v/>
      </c>
      <c r="H78" s="10" t="inlineStr">
        <is>
          <t>D20</t>
        </is>
      </c>
      <c r="I78" s="5" t="inlineStr">
        <is>
          <t>RS Means FY24 CONUS: Copper domestic cold water distribution, commercial, per SF floor area. RSM 22 11 13.</t>
        </is>
      </c>
    </row>
    <row r="79">
      <c r="A79" s="4" t="n">
        <v>66</v>
      </c>
      <c r="B79" s="4" t="inlineStr">
        <is>
          <t>Plumbing</t>
        </is>
      </c>
      <c r="C79" s="5" t="inlineStr">
        <is>
          <t>New building drain connection to sanitary sewer - remove and replace existing site sewer line, new PVC 6-inch SDR-35 from building exit to first manhole, excavation, backfill, and surface restoration</t>
        </is>
      </c>
      <c r="D79" s="13" t="n">
        <v>1</v>
      </c>
      <c r="E79" s="4" t="inlineStr">
        <is>
          <t>LS</t>
        </is>
      </c>
      <c r="F79" s="14" t="n">
        <v>7500</v>
      </c>
      <c r="G79" s="15">
        <f>D79*F79</f>
        <v/>
      </c>
      <c r="H79" s="10" t="inlineStr">
        <is>
          <t>D20</t>
        </is>
      </c>
      <c r="I79" s="5" t="inlineStr">
        <is>
          <t>RS Means FY24 CONUS: PVC SDR-35 site sewer, 6-in dia, 50 LF estimated, includes excavation and backfill. RSM 33 31 13.</t>
        </is>
      </c>
    </row>
    <row r="80">
      <c r="A80" s="4" t="n">
        <v>67</v>
      </c>
      <c r="B80" s="4" t="inlineStr">
        <is>
          <t>Plumbing</t>
        </is>
      </c>
      <c r="C80" s="5" t="inlineStr">
        <is>
          <t>New commercial electric water heater, 100-gallon - remove existing 2004 unit past service life, install new unit with supply connections, T&amp;P relief valve, floor drain piping, and electrical connection</t>
        </is>
      </c>
      <c r="D80" s="13" t="n">
        <v>1</v>
      </c>
      <c r="E80" s="4" t="inlineStr">
        <is>
          <t>EA</t>
        </is>
      </c>
      <c r="F80" s="14" t="n">
        <v>5200</v>
      </c>
      <c r="G80" s="15">
        <f>D80*F80</f>
        <v/>
      </c>
      <c r="H80" s="10" t="inlineStr">
        <is>
          <t>D20</t>
        </is>
      </c>
      <c r="I80" s="5" t="inlineStr">
        <is>
          <t>RS Means FY24 CONUS: Commercial electric water heater, 80-100 gal, furnished and installed complete. RSM 22 33 30.</t>
        </is>
      </c>
    </row>
    <row r="81">
      <c r="A81" s="4" t="n">
        <v>68</v>
      </c>
      <c r="B81" s="4" t="inlineStr">
        <is>
          <t>Plumbing</t>
        </is>
      </c>
      <c r="C81" s="5" t="inlineStr">
        <is>
          <t>Full restroom fixture replacement, all restroom spaces (Rooms 108A, 108B, 110A, 110B) - water closets 4 EA, urinals 3 EA, lavatories 3 EA, shower sets 2 EA, service sink 1 EA; per plumbing fixture schedule Sheet 7-20</t>
        </is>
      </c>
      <c r="D81" s="13" t="n">
        <v>1</v>
      </c>
      <c r="E81" s="4" t="inlineStr">
        <is>
          <t>LS</t>
        </is>
      </c>
      <c r="F81" s="14" t="n">
        <v>16500</v>
      </c>
      <c r="G81" s="15">
        <f>D81*F81</f>
        <v/>
      </c>
      <c r="H81" s="10" t="inlineStr">
        <is>
          <t>D20</t>
        </is>
      </c>
      <c r="I81" s="5" t="inlineStr">
        <is>
          <t>RS Means FY24 CONUS: Fixture replacement package per schedule Sheet 7-20. WC $1,250 EA, urinal $1,000 EA, lavatory $900 EA, shower $1,900 EA, service sink $1,100 EA. RSM 22 41 13.</t>
        </is>
      </c>
    </row>
    <row r="82">
      <c r="A82" s="4" t="n">
        <v>69</v>
      </c>
      <c r="B82" s="4" t="inlineStr">
        <is>
          <t>Plumbing</t>
        </is>
      </c>
      <c r="C82" s="5" t="inlineStr">
        <is>
          <t>Restroom ceramic tile, floor and wall, all restroom spaces - floor tile 500 SF and wall tile 1,000 SF (wet areas to 8 ft) per interior finish schedule Sheet 6-20 of as-built drawings</t>
        </is>
      </c>
      <c r="D82" s="13" t="n">
        <v>1</v>
      </c>
      <c r="E82" s="4" t="inlineStr">
        <is>
          <t>LS</t>
        </is>
      </c>
      <c r="F82" s="14" t="n">
        <v>25000</v>
      </c>
      <c r="G82" s="15">
        <f>D82*F82</f>
        <v/>
      </c>
      <c r="H82" s="10" t="inlineStr">
        <is>
          <t>D20</t>
        </is>
      </c>
      <c r="I82" s="5" t="inlineStr">
        <is>
          <t>RS Means FY24 CONUS: Ceramic tile floor $18/SF (500 SF = $9,000) and wall $16/SF (1,000 SF = $16,000). RSM 09 30 13.</t>
        </is>
      </c>
    </row>
    <row r="83">
      <c r="A83" s="4" t="n">
        <v>70</v>
      </c>
      <c r="B83" s="4" t="inlineStr">
        <is>
          <t>Plumbing</t>
        </is>
      </c>
      <c r="C83" s="5" t="inlineStr">
        <is>
          <t>Restroom accessories replacement - toilet paper holders, towel dispensers, mirrors, soap dispensers, and grab bars, all restroom spaces</t>
        </is>
      </c>
      <c r="D83" s="13" t="n">
        <v>1</v>
      </c>
      <c r="E83" s="4" t="inlineStr">
        <is>
          <t>LS</t>
        </is>
      </c>
      <c r="F83" s="14" t="n">
        <v>5200</v>
      </c>
      <c r="G83" s="15">
        <f>D83*F83</f>
        <v/>
      </c>
      <c r="H83" s="10" t="inlineStr">
        <is>
          <t>D20</t>
        </is>
      </c>
      <c r="I83" s="5" t="inlineStr">
        <is>
          <t>RS Means FY24 CONUS: Restroom accessories, commercial grade, 6 spaces x $867 avg. RSM 10 28 16.</t>
        </is>
      </c>
    </row>
    <row r="84">
      <c r="A84" s="4" t="n">
        <v>71</v>
      </c>
      <c r="B84" s="4" t="inlineStr">
        <is>
          <t>Plumbing</t>
        </is>
      </c>
      <c r="C84" s="5" t="inlineStr">
        <is>
          <t>Restroom LED lighting replacement - all restroom spaces, 15 fixtures, including conduit, wiring, switches, and circuit connections</t>
        </is>
      </c>
      <c r="D84" s="13" t="n">
        <v>15</v>
      </c>
      <c r="E84" s="4" t="inlineStr">
        <is>
          <t>EA</t>
        </is>
      </c>
      <c r="F84" s="14" t="n">
        <v>435</v>
      </c>
      <c r="G84" s="15">
        <f>D84*F84</f>
        <v/>
      </c>
      <c r="H84" s="10" t="inlineStr">
        <is>
          <t>D50</t>
        </is>
      </c>
      <c r="I84" s="5" t="inlineStr">
        <is>
          <t>RS Means FY24 CONUS: LED recessed fixture with box, commercial, complete with wiring. RSM 26 51 00.</t>
        </is>
      </c>
    </row>
    <row r="85" ht="18" customHeight="1">
      <c r="A85" s="12" t="inlineStr">
        <is>
          <t>11.  OVERHEAD DOORS AND AIR CURTAINS</t>
        </is>
      </c>
    </row>
    <row r="86">
      <c r="A86" s="4" t="n">
        <v>72</v>
      </c>
      <c r="B86" s="4" t="inlineStr">
        <is>
          <t>Doors</t>
        </is>
      </c>
      <c r="C86" s="5" t="inlineStr">
        <is>
          <t>Replace overhead sectional steel roll-up doors building-wide - remove and replace existing doors past service life per David Brennan mechanical evaluation 19 Mar 2026; 5 EA per as-built floor plan Sheet 7-36 (Rooms 112, 114, 116, 117, 118 north face)</t>
        </is>
      </c>
      <c r="D86" s="13" t="n">
        <v>5</v>
      </c>
      <c r="E86" s="4" t="inlineStr">
        <is>
          <t>EA</t>
        </is>
      </c>
      <c r="F86" s="14" t="n">
        <v>5500</v>
      </c>
      <c r="G86" s="15">
        <f>D86*F86</f>
        <v/>
      </c>
      <c r="H86" s="10" t="inlineStr">
        <is>
          <t>B20</t>
        </is>
      </c>
      <c r="I86" s="5" t="inlineStr">
        <is>
          <t>RS Means FY24 CONUS: Overhead sectional steel door, commercial, 10x10 opening, complete with hardware and motor operator. RSM 08 33 23.</t>
        </is>
      </c>
    </row>
    <row r="87">
      <c r="A87" s="4" t="n">
        <v>73</v>
      </c>
      <c r="B87" s="4" t="inlineStr">
        <is>
          <t>Doors</t>
        </is>
      </c>
      <c r="C87" s="5" t="inlineStr">
        <is>
          <t>Replace air curtains at building entry doors - remove and replace non-functioning air curtains per David Brennan mechanical evaluation 19 Mar 2026; 2 EA (end of each hallway, confirmed)</t>
        </is>
      </c>
      <c r="D87" s="13" t="n">
        <v>2</v>
      </c>
      <c r="E87" s="4" t="inlineStr">
        <is>
          <t>EA</t>
        </is>
      </c>
      <c r="F87" s="14" t="n">
        <v>2900</v>
      </c>
      <c r="G87" s="15">
        <f>D87*F87</f>
        <v/>
      </c>
      <c r="H87" s="10" t="inlineStr">
        <is>
          <t>B20</t>
        </is>
      </c>
      <c r="I87" s="5" t="inlineStr">
        <is>
          <t>RS Means FY24 CONUS: Commercial air curtain, 36-in width, heated, complete with electrical connection. RSM 23 34 43.</t>
        </is>
      </c>
    </row>
    <row r="89">
      <c r="A89" s="7" t="inlineStr">
        <is>
          <t>TOTAL BASE DIRECT COST (FY24 CONUS)</t>
        </is>
      </c>
      <c r="G89" s="6">
        <f>SUM(G5:G87)</f>
        <v/>
      </c>
    </row>
  </sheetData>
  <mergeCells count="14">
    <mergeCell ref="A59:I59"/>
    <mergeCell ref="A2:I2"/>
    <mergeCell ref="A11:I11"/>
    <mergeCell ref="A47:I47"/>
    <mergeCell ref="A85:I85"/>
    <mergeCell ref="A1:I1"/>
    <mergeCell ref="A23:I23"/>
    <mergeCell ref="A18:I18"/>
    <mergeCell ref="A89:F89"/>
    <mergeCell ref="A53:I53"/>
    <mergeCell ref="A39:I39"/>
    <mergeCell ref="A74:I74"/>
    <mergeCell ref="A4:I4"/>
    <mergeCell ref="A30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2" customWidth="1" min="3" max="3"/>
    <col width="70" customWidth="1" min="4" max="4"/>
  </cols>
  <sheetData>
    <row r="1" ht="24" customHeight="1">
      <c r="A1" s="1" t="inlineStr">
        <is>
          <t>SCH-3213  |  COST ESTIMATE PARAMETERS  |  LEVEL 3 ROM  |  FY27  |  PAX ID 387624  |  Fi Web BU26PPE72M</t>
        </is>
      </c>
    </row>
    <row r="3">
      <c r="A3" s="2" t="inlineStr">
        <is>
          <t>PROJECT IDENTIFICATION</t>
        </is>
      </c>
    </row>
    <row r="4">
      <c r="A4" s="8" t="inlineStr">
        <is>
          <t>Estimate Title</t>
        </is>
      </c>
      <c r="B4" s="5" t="inlineStr">
        <is>
          <t>SCH-3213  |  Repair COMPANY HQ</t>
        </is>
      </c>
      <c r="C4" s="4" t="inlineStr">
        <is>
          <t>Text</t>
        </is>
      </c>
      <c r="D4" s="5" t="inlineStr">
        <is>
          <t>DD Form 1391  |  PAX ID 387624  |  Fi Web BU26PPE72M</t>
        </is>
      </c>
    </row>
    <row r="5">
      <c r="A5" s="8" t="inlineStr">
        <is>
          <t>Building / Installation</t>
        </is>
      </c>
      <c r="B5" s="5" t="inlineStr">
        <is>
          <t>SCH-3213  |  Camp Schwab, Okinawa, Japan</t>
        </is>
      </c>
      <c r="C5" s="4" t="inlineStr">
        <is>
          <t>Text</t>
        </is>
      </c>
      <c r="D5" s="5" t="inlineStr">
        <is>
          <t>MCIPAC G-F PPE</t>
        </is>
      </c>
    </row>
    <row r="6">
      <c r="A6" s="8" t="inlineStr">
        <is>
          <t>Supported Units</t>
        </is>
      </c>
      <c r="B6" s="5" t="inlineStr">
        <is>
          <t>4th Marine Regiment / III MEF</t>
        </is>
      </c>
      <c r="C6" s="4" t="inlineStr">
        <is>
          <t>Text</t>
        </is>
      </c>
      <c r="D6" s="5" t="inlineStr">
        <is>
          <t>Primary supported units</t>
        </is>
      </c>
    </row>
    <row r="7">
      <c r="A7" s="8" t="inlineStr">
        <is>
          <t>PAX ID</t>
        </is>
      </c>
      <c r="B7" s="5" t="n">
        <v>387624</v>
      </c>
      <c r="C7" s="4" t="inlineStr">
        <is>
          <t>ID</t>
        </is>
      </c>
      <c r="D7" s="5" t="inlineStr">
        <is>
          <t>PAX System</t>
        </is>
      </c>
    </row>
    <row r="8">
      <c r="A8" s="8" t="inlineStr">
        <is>
          <t>Fi Web Project Number</t>
        </is>
      </c>
      <c r="B8" s="5" t="inlineStr">
        <is>
          <t>BU26PPE72M</t>
        </is>
      </c>
      <c r="C8" s="4" t="inlineStr">
        <is>
          <t>ID</t>
        </is>
      </c>
      <c r="D8" s="5" t="inlineStr">
        <is>
          <t>Fi Web confirmed</t>
        </is>
      </c>
    </row>
    <row r="9">
      <c r="A9" s="8" t="inlineStr">
        <is>
          <t>iNFADS RPUID</t>
        </is>
      </c>
      <c r="B9" s="5" t="n">
        <v>48879</v>
      </c>
      <c r="C9" s="4" t="inlineStr">
        <is>
          <t>ID</t>
        </is>
      </c>
      <c r="D9" s="5" t="inlineStr">
        <is>
          <t>iNFADS Real Property record</t>
        </is>
      </c>
    </row>
    <row r="10">
      <c r="A10" s="8" t="inlineStr">
        <is>
          <t>Primary Project CCN</t>
        </is>
      </c>
      <c r="B10" s="5" t="n">
        <v>61010</v>
      </c>
      <c r="C10" s="4" t="inlineStr">
        <is>
          <t>CCN</t>
        </is>
      </c>
      <c r="D10" s="5" t="inlineStr">
        <is>
          <t>iNFADS CCN 61010</t>
        </is>
      </c>
    </row>
    <row r="11">
      <c r="A11" s="8" t="inlineStr">
        <is>
          <t>Total Building GSF</t>
        </is>
      </c>
      <c r="B11" s="5" t="n">
        <v>13484</v>
      </c>
      <c r="C11" s="4" t="inlineStr">
        <is>
          <t>SF</t>
        </is>
      </c>
      <c r="D11" s="5" t="inlineStr">
        <is>
          <t>iNFADS confirmed</t>
        </is>
      </c>
    </row>
    <row r="12">
      <c r="A12" s="8" t="inlineStr">
        <is>
          <t>Plant Replacement Value (iNFADS)</t>
        </is>
      </c>
      <c r="B12" s="5" t="n">
        <v>10893334</v>
      </c>
      <c r="C12" s="4" t="inlineStr">
        <is>
          <t>$</t>
        </is>
      </c>
      <c r="D12" s="5" t="inlineStr">
        <is>
          <t>iNFADS confirmed; UFC 3-701-01 w/Ch 7</t>
        </is>
      </c>
    </row>
    <row r="13">
      <c r="A13" s="8" t="inlineStr">
        <is>
          <t>Estimate Date</t>
        </is>
      </c>
      <c r="B13" s="5" t="inlineStr">
        <is>
          <t>29 Apr 2026</t>
        </is>
      </c>
      <c r="C13" s="4" t="inlineStr">
        <is>
          <t>Date</t>
        </is>
      </c>
      <c r="D13" s="5" t="inlineStr">
        <is>
          <t>Date of estimate production</t>
        </is>
      </c>
    </row>
    <row r="14">
      <c r="A14" s="8" t="inlineStr">
        <is>
          <t>Estimate Level</t>
        </is>
      </c>
      <c r="B14" s="5" t="inlineStr">
        <is>
          <t>Level 3 ROM</t>
        </is>
      </c>
      <c r="C14" s="4" t="inlineStr">
        <is>
          <t>Text</t>
        </is>
      </c>
      <c r="D14" s="5" t="inlineStr">
        <is>
          <t>UFS 3-740-05 (2 Feb 2026); for information only</t>
        </is>
      </c>
    </row>
    <row r="15">
      <c r="A15" s="8" t="inlineStr">
        <is>
          <t>Delivery Method</t>
        </is>
      </c>
      <c r="B15" s="5" t="inlineStr">
        <is>
          <t>Design-Build (DB)</t>
        </is>
      </c>
      <c r="C15" s="4" t="inlineStr">
        <is>
          <t>Method</t>
        </is>
      </c>
      <c r="D15" s="5" t="inlineStr">
        <is>
          <t>UFC 3-730-01 (2024)</t>
        </is>
      </c>
    </row>
    <row r="17">
      <c r="A17" s="2" t="inlineStr">
        <is>
          <t>COST INPUTS  (yellow = user input; locked unless directed)</t>
        </is>
      </c>
    </row>
    <row r="18">
      <c r="A18" s="8" t="inlineStr">
        <is>
          <t>Base Year</t>
        </is>
      </c>
      <c r="B18" s="14" t="n">
        <v>2024</v>
      </c>
      <c r="C18" s="4" t="inlineStr">
        <is>
          <t>FY</t>
        </is>
      </c>
      <c r="D18" s="5" t="inlineStr">
        <is>
          <t>FY24 CONUS base costs</t>
        </is>
      </c>
    </row>
    <row r="19">
      <c r="A19" s="8" t="inlineStr">
        <is>
          <t>Target Fiscal Year</t>
        </is>
      </c>
      <c r="B19" s="14" t="n">
        <v>2027</v>
      </c>
      <c r="C19" s="4" t="inlineStr">
        <is>
          <t>FY</t>
        </is>
      </c>
      <c r="D19" s="5" t="inlineStr">
        <is>
          <t>FY27 construction start</t>
        </is>
      </c>
    </row>
    <row r="20">
      <c r="A20" s="8" t="inlineStr">
        <is>
          <t>Area Cost Factor (ACF)</t>
        </is>
      </c>
      <c r="B20" s="16" t="n">
        <v>1.85</v>
      </c>
      <c r="C20" s="4" t="inlineStr">
        <is>
          <t>Multiplier</t>
        </is>
      </c>
      <c r="D20" s="5" t="inlineStr">
        <is>
          <t>UFC 3-701-01 w/Ch 7 (25 Jul 2025), Table 4-1 OCONUS Okinawa M67400-0004</t>
        </is>
      </c>
    </row>
    <row r="21">
      <c r="A21" s="8" t="inlineStr">
        <is>
          <t>Escalation Rate (annual)</t>
        </is>
      </c>
      <c r="B21" s="16" t="n">
        <v>0.021</v>
      </c>
      <c r="C21" s="4" t="inlineStr">
        <is>
          <t>%</t>
        </is>
      </c>
      <c r="D21" s="5" t="inlineStr">
        <is>
          <t>OSD FY25 published rate, client confirmed</t>
        </is>
      </c>
    </row>
    <row r="22">
      <c r="A22" s="8" t="inlineStr">
        <is>
          <t>Escalation Years</t>
        </is>
      </c>
      <c r="B22" s="17" t="n">
        <v>3</v>
      </c>
      <c r="C22" s="4" t="inlineStr">
        <is>
          <t>Years</t>
        </is>
      </c>
      <c r="D22" s="5" t="inlineStr">
        <is>
          <t>FY24 base to FY27 target</t>
        </is>
      </c>
    </row>
    <row r="23">
      <c r="A23" s="8" t="inlineStr">
        <is>
          <t>General Requirements</t>
        </is>
      </c>
      <c r="B23" s="16" t="n">
        <v>0.1</v>
      </c>
      <c r="C23" s="4" t="inlineStr">
        <is>
          <t>%</t>
        </is>
      </c>
      <c r="D23" s="5" t="inlineStr">
        <is>
          <t>FSRM program-directed; UFS 3-740-05</t>
        </is>
      </c>
    </row>
    <row r="25">
      <c r="A25" s="2" t="inlineStr">
        <is>
          <t>PAX ASSOCIATED COSTS  (informational; applied by PAX at submission)</t>
        </is>
      </c>
    </row>
    <row r="26">
      <c r="A26" s="8" t="inlineStr">
        <is>
          <t>Contingency</t>
        </is>
      </c>
      <c r="B26" s="18" t="n">
        <v>0.1</v>
      </c>
      <c r="C26" s="4" t="inlineStr">
        <is>
          <t>%</t>
        </is>
      </c>
      <c r="D26" s="5" t="inlineStr">
        <is>
          <t>FSRM program-directed; PAX-applied to items subtotal</t>
        </is>
      </c>
    </row>
    <row r="27">
      <c r="A27" s="8" t="inlineStr">
        <is>
          <t>Supervision Inspection and Overhead (SIOH)</t>
        </is>
      </c>
      <c r="B27" s="18" t="n">
        <v>0.08</v>
      </c>
      <c r="C27" s="4" t="inlineStr">
        <is>
          <t>%</t>
        </is>
      </c>
      <c r="D27" s="5" t="inlineStr">
        <is>
          <t>OCONUS FSRM customer-directed (8.0%); PAX-applied</t>
        </is>
      </c>
    </row>
    <row r="28">
      <c r="A28" s="8" t="inlineStr">
        <is>
          <t>Design-Build Design (DB)</t>
        </is>
      </c>
      <c r="B28" s="18" t="n">
        <v>0.04</v>
      </c>
      <c r="C28" s="4" t="inlineStr">
        <is>
          <t>%</t>
        </is>
      </c>
      <c r="D28" s="5" t="inlineStr">
        <is>
          <t>UFC 3-730-01 (2024); PAX-applied</t>
        </is>
      </c>
    </row>
    <row r="29">
      <c r="A29" s="8" t="inlineStr">
        <is>
          <t>Planning and Design (P&amp;D)</t>
        </is>
      </c>
      <c r="B29" s="18" t="n">
        <v>0.06</v>
      </c>
      <c r="C29" s="4" t="inlineStr">
        <is>
          <t>%</t>
        </is>
      </c>
      <c r="D29" s="5" t="inlineStr">
        <is>
          <t>NON ADD; informational only; does not roll into TPC</t>
        </is>
      </c>
    </row>
    <row r="31">
      <c r="A31" s="2" t="inlineStr">
        <is>
          <t>DERIVED VALUES  (live formulas; do not edit)</t>
        </is>
      </c>
    </row>
    <row r="32">
      <c r="A32" s="8" t="inlineStr">
        <is>
          <t>Compound Escalation Factor</t>
        </is>
      </c>
      <c r="B32" s="19">
        <f>(1+B21)^B22</f>
        <v/>
      </c>
      <c r="C32" s="4" t="inlineStr">
        <is>
          <t>Factor</t>
        </is>
      </c>
      <c r="D32" s="5" t="inlineStr">
        <is>
          <t>(1 + escalation)^years</t>
        </is>
      </c>
    </row>
    <row r="33">
      <c r="A33" s="8" t="inlineStr">
        <is>
          <t>Base Direct Cost (FY24 CONUS)</t>
        </is>
      </c>
      <c r="B33" s="6">
        <f>SCOPE_DETAIL!G89</f>
        <v/>
      </c>
      <c r="C33" s="4" t="inlineStr">
        <is>
          <t>$</t>
        </is>
      </c>
      <c r="D33" s="5" t="inlineStr">
        <is>
          <t>Sum of all scope items on SCOPE_DETAIL</t>
        </is>
      </c>
    </row>
    <row r="34">
      <c r="A34" s="8" t="inlineStr">
        <is>
          <t>Pre-Calibration Subtotal</t>
        </is>
      </c>
      <c r="B34" s="6">
        <f>B33*B20*B32*(1+B23)</f>
        <v/>
      </c>
      <c r="C34" s="4" t="inlineStr">
        <is>
          <t>$</t>
        </is>
      </c>
      <c r="D34" s="5" t="inlineStr">
        <is>
          <t>Base Direct x ACF x Escalation x (1 + General Requirements)</t>
        </is>
      </c>
    </row>
    <row r="35">
      <c r="A35" s="8" t="inlineStr">
        <is>
          <t>Locked Total Project Cost</t>
        </is>
      </c>
      <c r="B35" s="6" t="n">
        <v>5397928</v>
      </c>
      <c r="C35" s="4" t="inlineStr">
        <is>
          <t>$</t>
        </is>
      </c>
      <c r="D35" s="5" t="inlineStr">
        <is>
          <t>PAX-locked TPC; reconciliation target</t>
        </is>
      </c>
    </row>
    <row r="36">
      <c r="A36" s="8" t="inlineStr">
        <is>
          <t>Items Subtotal Target ($000)</t>
        </is>
      </c>
      <c r="B36" s="14" t="n">
        <v>4395</v>
      </c>
      <c r="C36" s="4" t="inlineStr">
        <is>
          <t>$000</t>
        </is>
      </c>
      <c r="D36" s="5" t="inlineStr">
        <is>
          <t>Calibrated so PAX rollup chain (TPC = TFC + DB-on-items) produces Locked TPC</t>
        </is>
      </c>
    </row>
    <row r="37">
      <c r="A37" s="8" t="inlineStr">
        <is>
          <t>Items Subtotal Target ($)</t>
        </is>
      </c>
      <c r="B37" s="6">
        <f>B36*1000</f>
        <v/>
      </c>
      <c r="C37" s="4" t="inlineStr">
        <is>
          <t>$</t>
        </is>
      </c>
      <c r="D37" s="5" t="inlineStr">
        <is>
          <t>Items Subtotal Target ($000) x 1000</t>
        </is>
      </c>
    </row>
    <row r="38">
      <c r="A38" s="8" t="inlineStr">
        <is>
          <t>Cost Adjustment Factor</t>
        </is>
      </c>
      <c r="B38" s="19">
        <f>B37/B34</f>
        <v/>
      </c>
      <c r="C38" s="4" t="inlineStr">
        <is>
          <t>Factor</t>
        </is>
      </c>
      <c r="D38" s="5" t="inlineStr">
        <is>
          <t>Items Subtotal Target / Pre-Calibration Subtotal; calibrates ROM chain</t>
        </is>
      </c>
    </row>
    <row r="40">
      <c r="A40" s="2" t="inlineStr">
        <is>
          <t>PLANNING RATES</t>
        </is>
      </c>
    </row>
    <row r="41">
      <c r="A41" s="8" t="inlineStr">
        <is>
          <t>JPY/USD Planning Rate</t>
        </is>
      </c>
      <c r="B41" s="20" t="n">
        <v>150.4415</v>
      </c>
      <c r="C41" s="4" t="inlineStr">
        <is>
          <t>Rate</t>
        </is>
      </c>
      <c r="D41" s="5" t="inlineStr">
        <is>
          <t>FY26 budget planning rate; H.10 live rate at PAX submission</t>
        </is>
      </c>
    </row>
    <row r="43">
      <c r="A43" s="2" t="inlineStr">
        <is>
          <t>ACTIVE REFERENCES</t>
        </is>
      </c>
    </row>
    <row r="44">
      <c r="A44" s="5" t="inlineStr">
        <is>
          <t>MCO 11000.5 (03 Jun 2016)  |  Real Property FSRM Program</t>
        </is>
      </c>
    </row>
    <row r="45">
      <c r="A45" s="5" t="inlineStr">
        <is>
          <t>MCO 11000.12 (08 Sep 2014)  |  Real Property Facilities Manual</t>
        </is>
      </c>
    </row>
    <row r="46">
      <c r="A46" s="5" t="inlineStr">
        <is>
          <t>Consistency Review Board Guidelines (May 2024, REV #15)  |  DD Form 1391 line-item sequencing</t>
        </is>
      </c>
    </row>
    <row r="47">
      <c r="A47" s="5" t="inlineStr">
        <is>
          <t>UFC 3-701-01 with Change 7 (25 Jul 2025)  |  PUC, ACF, PRV authority</t>
        </is>
      </c>
    </row>
    <row r="48">
      <c r="A48" s="5" t="inlineStr">
        <is>
          <t>UFC 3-730-01 (2024)  |  Design-Build contracting</t>
        </is>
      </c>
    </row>
    <row r="49">
      <c r="A49" s="5" t="inlineStr">
        <is>
          <t>UFS 3-740-05 (02 Feb 2026)  |  Cost estimating ROM levels</t>
        </is>
      </c>
    </row>
    <row r="50">
      <c r="A50" s="5" t="inlineStr">
        <is>
          <t>JED Cost Estimating Guidance (Combined, Nov 2025)</t>
        </is>
      </c>
    </row>
    <row r="51">
      <c r="A51" s="5" t="inlineStr">
        <is>
          <t>Japan District Design Guide v9 (April 2025)</t>
        </is>
      </c>
    </row>
    <row r="52">
      <c r="A52" s="5" t="inlineStr">
        <is>
          <t>10 U.S.C. Section 2802  |  DoD 4270.5-M  |  Classification of Work</t>
        </is>
      </c>
    </row>
  </sheetData>
  <mergeCells count="16">
    <mergeCell ref="A1:D1"/>
    <mergeCell ref="A17:D17"/>
    <mergeCell ref="A40:D40"/>
    <mergeCell ref="A45:D45"/>
    <mergeCell ref="A31:D31"/>
    <mergeCell ref="A50:D50"/>
    <mergeCell ref="A48:D48"/>
    <mergeCell ref="A3:D3"/>
    <mergeCell ref="A52:D52"/>
    <mergeCell ref="A25:D25"/>
    <mergeCell ref="A43:D43"/>
    <mergeCell ref="A51:D51"/>
    <mergeCell ref="A49:D49"/>
    <mergeCell ref="A47:D47"/>
    <mergeCell ref="A46:D46"/>
    <mergeCell ref="A44:D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70" customWidth="1" min="3" max="3"/>
  </cols>
  <sheetData>
    <row r="1" ht="24" customHeight="1">
      <c r="A1" s="1" t="inlineStr">
        <is>
          <t>SCH-3213  |  DD FORM 1391 BLOCK 9 - PAX PASTE  |  LEVEL 3 ROM  |  FY27  |  PAX ID 387624  |  Fi Web BU26PPE72M</t>
        </is>
      </c>
    </row>
    <row r="2" ht="30" customHeight="1">
      <c r="A2" s="21" t="inlineStr">
        <is>
          <t>All amounts in $000s. Paste discipline rollups into PAX Block 9 items table; PAX-loaded Cont 10% / SIOH 8% / DB 4% render the printed Total Project Cost. P&amp;D 6% NON ADD shown for visibility.</t>
        </is>
      </c>
    </row>
    <row r="3" ht="24" customHeight="1">
      <c r="A3" s="3" t="inlineStr">
        <is>
          <t>Cost Element</t>
        </is>
      </c>
      <c r="B3" s="3" t="inlineStr">
        <is>
          <t>Amount ($000)</t>
        </is>
      </c>
      <c r="C3" s="3" t="inlineStr">
        <is>
          <t>Notes / UNIFORMAT</t>
        </is>
      </c>
    </row>
    <row r="4">
      <c r="A4" s="8" t="inlineStr">
        <is>
          <t>B20  |  Exterior Enclosure</t>
        </is>
      </c>
      <c r="B4" s="6">
        <f>ROUND( SUMIF(SCOPE_DETAIL!H:H,"B20",SCOPE_DETAIL!G:G) * (PARAMETERS!B34/PARAMETERS!B33) * PARAMETERS!B38 / 1000, 0)</f>
        <v/>
      </c>
      <c r="C4" s="5" t="inlineStr">
        <is>
          <t>UNIFORMAT II Lv2 B20 rollup; absorbs base-cost adjustments via Cost Adjustment Factor</t>
        </is>
      </c>
    </row>
    <row r="5">
      <c r="A5" s="8" t="inlineStr">
        <is>
          <t>C10  |  Interior Construction</t>
        </is>
      </c>
      <c r="B5" s="6">
        <f>ROUND( SUMIF(SCOPE_DETAIL!H:H,"C10",SCOPE_DETAIL!G:G) * (PARAMETERS!B34/PARAMETERS!B33) * PARAMETERS!B38 / 1000, 0)</f>
        <v/>
      </c>
      <c r="C5" s="5" t="inlineStr">
        <is>
          <t>UNIFORMAT II Lv2 C10 rollup; absorbs base-cost adjustments via Cost Adjustment Factor</t>
        </is>
      </c>
    </row>
    <row r="6">
      <c r="A6" s="8" t="inlineStr">
        <is>
          <t>D20  |  Plumbing</t>
        </is>
      </c>
      <c r="B6" s="6">
        <f>ROUND( SUMIF(SCOPE_DETAIL!H:H,"D20",SCOPE_DETAIL!G:G) * (PARAMETERS!B34/PARAMETERS!B33) * PARAMETERS!B38 / 1000, 0)</f>
        <v/>
      </c>
      <c r="C6" s="5" t="inlineStr">
        <is>
          <t>UNIFORMAT II Lv2 D20 rollup; absorbs base-cost adjustments via Cost Adjustment Factor</t>
        </is>
      </c>
    </row>
    <row r="7">
      <c r="A7" s="8" t="inlineStr">
        <is>
          <t>D50  |  Electrical / Communications</t>
        </is>
      </c>
      <c r="B7" s="6">
        <f>ROUND( SUMIF(SCOPE_DETAIL!H:H,"D50",SCOPE_DETAIL!G:G) * (PARAMETERS!B34/PARAMETERS!B33) * PARAMETERS!B38 / 1000, 0)</f>
        <v/>
      </c>
      <c r="C7" s="5" t="inlineStr">
        <is>
          <t>UNIFORMAT II Lv2 D50 rollup; absorbs base-cost adjustments via Cost Adjustment Factor</t>
        </is>
      </c>
    </row>
    <row r="8">
      <c r="A8" s="8" t="inlineStr">
        <is>
          <t>F10  |  Hazardous Material Abatement</t>
        </is>
      </c>
      <c r="B8" s="6">
        <f>ROUND( SUMIF(SCOPE_DETAIL!H:H,"F10",SCOPE_DETAIL!G:G) * (PARAMETERS!B34/PARAMETERS!B33) * PARAMETERS!B38 / 1000, 0)</f>
        <v/>
      </c>
      <c r="C8" s="5" t="inlineStr">
        <is>
          <t>UNIFORMAT II Lv2 F10 rollup; absorbs base-cost adjustments via Cost Adjustment Factor</t>
        </is>
      </c>
    </row>
    <row r="9">
      <c r="A9" s="8" t="inlineStr">
        <is>
          <t>D30  |  HVAC / Mechanical</t>
        </is>
      </c>
      <c r="B9" s="6">
        <f>PARAMETERS!B36-SUM(B4:B8)</f>
        <v/>
      </c>
      <c r="C9" s="5" t="inlineStr">
        <is>
          <t>UNIFORMAT II Lv2 D30 rollup; balanced to Items Subtotal Target (absorbs rounding from other rollups)</t>
        </is>
      </c>
    </row>
    <row r="10">
      <c r="A10" s="7" t="inlineStr">
        <is>
          <t>ITEMS SUBTOTAL  (PAX Block 9 paste total)</t>
        </is>
      </c>
      <c r="B10" s="6">
        <f>SUM(B4:B9)</f>
        <v/>
      </c>
      <c r="C10" s="5" t="inlineStr">
        <is>
          <t>Sum of discipline rollups; this is the value pasted into PAX items table</t>
        </is>
      </c>
    </row>
    <row r="12">
      <c r="A12" s="8" t="inlineStr">
        <is>
          <t>Contingency (10.0%)  PAX-applied</t>
        </is>
      </c>
      <c r="B12" s="6">
        <f>ROUND(B10*0.10,0)</f>
        <v/>
      </c>
      <c r="C12" s="5" t="inlineStr">
        <is>
          <t>10% of items subtotal; FSRM program-directed</t>
        </is>
      </c>
    </row>
    <row r="13">
      <c r="A13" s="8" t="inlineStr">
        <is>
          <t>Total Contract Cost (TCC)</t>
        </is>
      </c>
      <c r="B13" s="6">
        <f>ROUND(B10*1.10,0)</f>
        <v/>
      </c>
      <c r="C13" s="5" t="inlineStr">
        <is>
          <t>ROUND(items subtotal x 1.10)</t>
        </is>
      </c>
    </row>
    <row r="14">
      <c r="A14" s="8" t="inlineStr">
        <is>
          <t>SIOH (8.0%)  PAX-applied</t>
        </is>
      </c>
      <c r="B14" s="6">
        <f>ROUND(B13*0.08,0)</f>
        <v/>
      </c>
      <c r="C14" s="5" t="inlineStr">
        <is>
          <t>8% of TCC; OCONUS FSRM customer-directed</t>
        </is>
      </c>
    </row>
    <row r="15">
      <c r="A15" s="8" t="inlineStr">
        <is>
          <t>Total Funded Cost (TFC)</t>
        </is>
      </c>
      <c r="B15" s="6">
        <f>ROUND(B13*1.08,0)</f>
        <v/>
      </c>
      <c r="C15" s="5" t="inlineStr">
        <is>
          <t>ROUND(TCC x 1.08)</t>
        </is>
      </c>
    </row>
    <row r="16">
      <c r="A16" s="8" t="inlineStr">
        <is>
          <t>DB Design (4.0%)  PAX-applied</t>
        </is>
      </c>
      <c r="B16" s="6">
        <f>ROUND(B10*0.04,0)</f>
        <v/>
      </c>
      <c r="C16" s="5" t="inlineStr">
        <is>
          <t>ROUND(items subtotal x 0.04); PAX applies DB to items, not to TFC</t>
        </is>
      </c>
    </row>
    <row r="17">
      <c r="A17" s="7" t="inlineStr">
        <is>
          <t>TOTAL PROJECT COST</t>
        </is>
      </c>
      <c r="B17" s="22">
        <f>B15+B16</f>
        <v/>
      </c>
      <c r="C17" s="5" t="inlineStr">
        <is>
          <t>TFC + DB Design  (mirrors PAX Total Request)</t>
        </is>
      </c>
    </row>
    <row r="18">
      <c r="A18" s="7" t="inlineStr">
        <is>
          <t>TOTAL PROJECT COST  ($000 rounded)</t>
        </is>
      </c>
      <c r="B18" s="22">
        <f>B17</f>
        <v/>
      </c>
      <c r="C18" s="5" t="inlineStr">
        <is>
          <t>Printed TPC on DD Form 1391 face</t>
        </is>
      </c>
    </row>
    <row r="20">
      <c r="A20" s="23" t="inlineStr">
        <is>
          <t>Planning and Design (6.0%)  NON ADD</t>
        </is>
      </c>
      <c r="B20" s="24">
        <f>ROUND(B10*0.06,0)</f>
        <v/>
      </c>
      <c r="C20" s="25" t="inlineStr">
        <is>
          <t>Informational; does not roll into TPC; PAX renders separately on form</t>
        </is>
      </c>
    </row>
    <row r="22">
      <c r="A22" s="8" t="inlineStr">
        <is>
          <t>Reconciliation (must equal 0)</t>
        </is>
      </c>
      <c r="B22" s="9">
        <f>B18-ROUND(PARAMETERS!B35/1000,0)</f>
        <v/>
      </c>
      <c r="C22" s="5" t="inlineStr">
        <is>
          <t>Printed TPC ($000) minus Locked TPC ($000)</t>
        </is>
      </c>
    </row>
    <row r="24">
      <c r="A24" s="2" t="inlineStr">
        <is>
          <t>CLASSIFICATION OF WORK</t>
        </is>
      </c>
    </row>
    <row r="25">
      <c r="A25" s="8" t="inlineStr">
        <is>
          <t>Construction</t>
        </is>
      </c>
      <c r="B25" s="15">
        <f>B18</f>
        <v/>
      </c>
      <c r="C25" s="5" t="inlineStr">
        <is>
          <t>100% of Total Project Cost  |  10 U.S.C. Section 2802</t>
        </is>
      </c>
    </row>
    <row r="26">
      <c r="A26" s="8" t="inlineStr">
        <is>
          <t>Special Interest: Restoration and Modernization</t>
        </is>
      </c>
      <c r="B26" s="15">
        <f>B18</f>
        <v/>
      </c>
      <c r="C26" s="5" t="inlineStr">
        <is>
          <t>100% SRM  |  MCO 11000.12  |  DoD 4270.5-M</t>
        </is>
      </c>
    </row>
  </sheetData>
  <mergeCells count="3">
    <mergeCell ref="A1:C1"/>
    <mergeCell ref="A24:C24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2026-04-30T03:02:02Z</dcterms:created>
  <dcterms:modified xsi:type="dcterms:W3CDTF">2026-04-30T03:02:02Z</dcterms:modified>
</cp:coreProperties>
</file>